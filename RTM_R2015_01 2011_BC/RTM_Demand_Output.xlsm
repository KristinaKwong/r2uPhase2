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10" yWindow="60" windowWidth="19845" windowHeight="12270" firstSheet="1" activeTab="1"/>
  </bookViews>
  <sheets>
    <sheet name="Miscel tables" sheetId="20" state="hidden" r:id="rId1"/>
    <sheet name="Summary" sheetId="9" r:id="rId2"/>
    <sheet name="AllPurposes" sheetId="27" r:id="rId3"/>
    <sheet name="HBWork" sheetId="1" state="hidden" r:id="rId4"/>
    <sheet name="HBSchool" sheetId="2" state="hidden" r:id="rId5"/>
    <sheet name="HBUniv" sheetId="3" state="hidden" r:id="rId6"/>
    <sheet name="HBEscort" sheetId="26" state="hidden" r:id="rId7"/>
    <sheet name="HBShop" sheetId="21" state="hidden" r:id="rId8"/>
    <sheet name="HBSocial" sheetId="22" state="hidden" r:id="rId9"/>
    <sheet name="HBPersBusiness" sheetId="25" state="hidden" r:id="rId10"/>
    <sheet name="NHBWork" sheetId="23" state="hidden" r:id="rId11"/>
    <sheet name="NHBOther" sheetId="24" state="hidden" r:id="rId12"/>
  </sheets>
  <definedNames>
    <definedName name="Calibri">NHBOther!$1:$1048576</definedName>
    <definedName name="ListWs">'Miscel tables'!$A$19</definedName>
    <definedName name="posValue1">Summary!$A$1</definedName>
    <definedName name="_xlnm.Print_Area" localSheetId="1">Summary!$A$3:$N$26</definedName>
    <definedName name="_xlnm.Print_Titles" localSheetId="1">Summary!$1:$3</definedName>
    <definedName name="select_iter">'Miscel tables'!$B$19</definedName>
  </definedNames>
  <calcPr calcId="145621" calcMode="manual"/>
  <fileRecoveryPr autoRecover="0"/>
</workbook>
</file>

<file path=xl/calcChain.xml><?xml version="1.0" encoding="utf-8"?>
<calcChain xmlns="http://schemas.openxmlformats.org/spreadsheetml/2006/main">
  <c r="P144" i="24" l="1"/>
  <c r="T9" i="24" s="1"/>
  <c r="Q142" i="24"/>
  <c r="P142" i="24"/>
  <c r="O143" i="24"/>
  <c r="Q141" i="24"/>
  <c r="P141" i="24"/>
  <c r="N143" i="24"/>
  <c r="Q140" i="24"/>
  <c r="P140" i="24"/>
  <c r="M143" i="24"/>
  <c r="Q139" i="24"/>
  <c r="P139" i="24"/>
  <c r="L143" i="24"/>
  <c r="Q138" i="24"/>
  <c r="P138" i="24"/>
  <c r="K143" i="24"/>
  <c r="Q137" i="24"/>
  <c r="P137" i="24"/>
  <c r="J143" i="24"/>
  <c r="Q136" i="24"/>
  <c r="P136" i="24"/>
  <c r="I143" i="24"/>
  <c r="Q135" i="24"/>
  <c r="P135" i="24"/>
  <c r="H143" i="24"/>
  <c r="Q134" i="24"/>
  <c r="P134" i="24"/>
  <c r="G143" i="24"/>
  <c r="Q133" i="24"/>
  <c r="P133" i="24"/>
  <c r="F143" i="24"/>
  <c r="Q132" i="24"/>
  <c r="P132" i="24"/>
  <c r="E143" i="24"/>
  <c r="Q131" i="24"/>
  <c r="P131" i="24"/>
  <c r="D143" i="24"/>
  <c r="Q130" i="24"/>
  <c r="P130" i="24"/>
  <c r="C143" i="24"/>
  <c r="Q129" i="24"/>
  <c r="P129" i="24"/>
  <c r="B143" i="24"/>
  <c r="P126" i="24"/>
  <c r="T8" i="24" s="1"/>
  <c r="Q124" i="24"/>
  <c r="P124" i="24"/>
  <c r="O125" i="24"/>
  <c r="Q123" i="24"/>
  <c r="P123" i="24"/>
  <c r="N125" i="24"/>
  <c r="Q122" i="24"/>
  <c r="P122" i="24"/>
  <c r="M125" i="24"/>
  <c r="Q121" i="24"/>
  <c r="P121" i="24"/>
  <c r="L125" i="24"/>
  <c r="Q120" i="24"/>
  <c r="P120" i="24"/>
  <c r="K125" i="24"/>
  <c r="Q119" i="24"/>
  <c r="P119" i="24"/>
  <c r="J125" i="24"/>
  <c r="Q118" i="24"/>
  <c r="P118" i="24"/>
  <c r="I125" i="24"/>
  <c r="Q117" i="24"/>
  <c r="P117" i="24"/>
  <c r="H125" i="24"/>
  <c r="Q116" i="24"/>
  <c r="P116" i="24"/>
  <c r="G125" i="24"/>
  <c r="Q115" i="24"/>
  <c r="P115" i="24"/>
  <c r="F125" i="24"/>
  <c r="Q114" i="24"/>
  <c r="P114" i="24"/>
  <c r="E125" i="24"/>
  <c r="Q113" i="24"/>
  <c r="P113" i="24"/>
  <c r="D125" i="24"/>
  <c r="Q112" i="24"/>
  <c r="P112" i="24"/>
  <c r="C125" i="24"/>
  <c r="Q111" i="24"/>
  <c r="P111" i="24"/>
  <c r="B125" i="24"/>
  <c r="P108" i="24"/>
  <c r="Q106" i="24"/>
  <c r="P106" i="24"/>
  <c r="O107" i="24"/>
  <c r="Q105" i="24"/>
  <c r="P105" i="24"/>
  <c r="N107" i="24"/>
  <c r="Q104" i="24"/>
  <c r="P104" i="24"/>
  <c r="M107" i="24"/>
  <c r="Q103" i="24"/>
  <c r="P103" i="24"/>
  <c r="L107" i="24"/>
  <c r="Q102" i="24"/>
  <c r="P102" i="24"/>
  <c r="K107" i="24"/>
  <c r="Q101" i="24"/>
  <c r="P101" i="24"/>
  <c r="J107" i="24"/>
  <c r="Q100" i="24"/>
  <c r="P100" i="24"/>
  <c r="I107" i="24"/>
  <c r="Q99" i="24"/>
  <c r="P99" i="24"/>
  <c r="H107" i="24"/>
  <c r="Q98" i="24"/>
  <c r="P98" i="24"/>
  <c r="G107" i="24"/>
  <c r="Q97" i="24"/>
  <c r="P97" i="24"/>
  <c r="F107" i="24"/>
  <c r="Q96" i="24"/>
  <c r="P96" i="24"/>
  <c r="E107" i="24"/>
  <c r="Q95" i="24"/>
  <c r="P95" i="24"/>
  <c r="D107" i="24"/>
  <c r="Q94" i="24"/>
  <c r="P94" i="24"/>
  <c r="C107" i="24"/>
  <c r="Q93" i="24"/>
  <c r="P93" i="24"/>
  <c r="B107" i="24"/>
  <c r="T7" i="24"/>
  <c r="P90" i="24"/>
  <c r="T6" i="24" s="1"/>
  <c r="Q88" i="24"/>
  <c r="P88" i="24"/>
  <c r="O89" i="24"/>
  <c r="Q87" i="24"/>
  <c r="P87" i="24"/>
  <c r="N89" i="24"/>
  <c r="Q86" i="24"/>
  <c r="P86" i="24"/>
  <c r="M89" i="24"/>
  <c r="Q85" i="24"/>
  <c r="P85" i="24"/>
  <c r="L89" i="24"/>
  <c r="Q84" i="24"/>
  <c r="P84" i="24"/>
  <c r="K89" i="24"/>
  <c r="Q83" i="24"/>
  <c r="P83" i="24"/>
  <c r="J89" i="24"/>
  <c r="Q82" i="24"/>
  <c r="P82" i="24"/>
  <c r="I89" i="24"/>
  <c r="Q81" i="24"/>
  <c r="P81" i="24"/>
  <c r="H89" i="24"/>
  <c r="Q80" i="24"/>
  <c r="P80" i="24"/>
  <c r="G89" i="24"/>
  <c r="Q79" i="24"/>
  <c r="P79" i="24"/>
  <c r="F89" i="24"/>
  <c r="Q78" i="24"/>
  <c r="P78" i="24"/>
  <c r="E89" i="24"/>
  <c r="Q77" i="24"/>
  <c r="P77" i="24"/>
  <c r="D89" i="24"/>
  <c r="Q76" i="24"/>
  <c r="P76" i="24"/>
  <c r="C89" i="24"/>
  <c r="Q75" i="24"/>
  <c r="P75" i="24"/>
  <c r="B89" i="24"/>
  <c r="P72" i="24"/>
  <c r="T5" i="24" s="1"/>
  <c r="Q70" i="24"/>
  <c r="P70" i="24"/>
  <c r="O71" i="24"/>
  <c r="Q69" i="24"/>
  <c r="P69" i="24"/>
  <c r="N71" i="24"/>
  <c r="Q68" i="24"/>
  <c r="P68" i="24"/>
  <c r="M71" i="24"/>
  <c r="Q67" i="24"/>
  <c r="P67" i="24"/>
  <c r="L71" i="24"/>
  <c r="Q66" i="24"/>
  <c r="P66" i="24"/>
  <c r="K71" i="24"/>
  <c r="Q65" i="24"/>
  <c r="P65" i="24"/>
  <c r="J71" i="24"/>
  <c r="Q64" i="24"/>
  <c r="P64" i="24"/>
  <c r="I71" i="24"/>
  <c r="Q63" i="24"/>
  <c r="P63" i="24"/>
  <c r="H71" i="24"/>
  <c r="Q62" i="24"/>
  <c r="P62" i="24"/>
  <c r="G71" i="24"/>
  <c r="Q61" i="24"/>
  <c r="P61" i="24"/>
  <c r="F71" i="24"/>
  <c r="Q60" i="24"/>
  <c r="P60" i="24"/>
  <c r="E71" i="24"/>
  <c r="Q59" i="24"/>
  <c r="P59" i="24"/>
  <c r="D71" i="24"/>
  <c r="Q58" i="24"/>
  <c r="P58" i="24"/>
  <c r="C71" i="24"/>
  <c r="Q57" i="24"/>
  <c r="P57" i="24"/>
  <c r="B71" i="24"/>
  <c r="P54" i="24"/>
  <c r="T4" i="24" s="1"/>
  <c r="Q52" i="24"/>
  <c r="P52" i="24"/>
  <c r="O53" i="24"/>
  <c r="Q51" i="24"/>
  <c r="P51" i="24"/>
  <c r="N53" i="24"/>
  <c r="Q50" i="24"/>
  <c r="P50" i="24"/>
  <c r="M53" i="24"/>
  <c r="Q49" i="24"/>
  <c r="P49" i="24"/>
  <c r="L53" i="24"/>
  <c r="Q48" i="24"/>
  <c r="P48" i="24"/>
  <c r="K53" i="24"/>
  <c r="Q47" i="24"/>
  <c r="P47" i="24"/>
  <c r="J53" i="24"/>
  <c r="Q46" i="24"/>
  <c r="P46" i="24"/>
  <c r="I53" i="24"/>
  <c r="Q45" i="24"/>
  <c r="P45" i="24"/>
  <c r="H53" i="24"/>
  <c r="Q44" i="24"/>
  <c r="P44" i="24"/>
  <c r="G53" i="24"/>
  <c r="Q43" i="24"/>
  <c r="P43" i="24"/>
  <c r="F53" i="24"/>
  <c r="Q42" i="24"/>
  <c r="P42" i="24"/>
  <c r="E53" i="24"/>
  <c r="Q41" i="24"/>
  <c r="P41" i="24"/>
  <c r="D53" i="24"/>
  <c r="Q40" i="24"/>
  <c r="P40" i="24"/>
  <c r="C53" i="24"/>
  <c r="Q39" i="24"/>
  <c r="P39" i="24"/>
  <c r="B53" i="24"/>
  <c r="P36" i="24"/>
  <c r="T3" i="24" s="1"/>
  <c r="Q34" i="24"/>
  <c r="P34" i="24"/>
  <c r="O35" i="24"/>
  <c r="Q33" i="24"/>
  <c r="P33" i="24"/>
  <c r="N35" i="24"/>
  <c r="Q32" i="24"/>
  <c r="P32" i="24"/>
  <c r="M35" i="24"/>
  <c r="Q31" i="24"/>
  <c r="P31" i="24"/>
  <c r="L35" i="24"/>
  <c r="Q30" i="24"/>
  <c r="P30" i="24"/>
  <c r="K35" i="24"/>
  <c r="Q29" i="24"/>
  <c r="P29" i="24"/>
  <c r="J35" i="24"/>
  <c r="Q28" i="24"/>
  <c r="P28" i="24"/>
  <c r="I35" i="24"/>
  <c r="Q27" i="24"/>
  <c r="P27" i="24"/>
  <c r="H35" i="24"/>
  <c r="Q26" i="24"/>
  <c r="P26" i="24"/>
  <c r="G35" i="24"/>
  <c r="Q25" i="24"/>
  <c r="P25" i="24"/>
  <c r="F35" i="24"/>
  <c r="Q24" i="24"/>
  <c r="P24" i="24"/>
  <c r="E35" i="24"/>
  <c r="Q23" i="24"/>
  <c r="P23" i="24"/>
  <c r="D35" i="24"/>
  <c r="Q22" i="24"/>
  <c r="P22" i="24"/>
  <c r="C35" i="24"/>
  <c r="Q21" i="24"/>
  <c r="P21" i="24"/>
  <c r="B35" i="24"/>
  <c r="P18" i="24"/>
  <c r="Q16" i="24"/>
  <c r="P16" i="24"/>
  <c r="O17" i="24"/>
  <c r="Q15" i="24"/>
  <c r="P15" i="24"/>
  <c r="N17" i="24"/>
  <c r="Q14" i="24"/>
  <c r="P14" i="24"/>
  <c r="M17" i="24"/>
  <c r="Q13" i="24"/>
  <c r="P13" i="24"/>
  <c r="L17" i="24"/>
  <c r="Q12" i="24"/>
  <c r="P12" i="24"/>
  <c r="K17" i="24"/>
  <c r="Q11" i="24"/>
  <c r="P11" i="24"/>
  <c r="J17" i="24"/>
  <c r="Q10" i="24"/>
  <c r="P10" i="24"/>
  <c r="I17" i="24"/>
  <c r="Q9" i="24"/>
  <c r="P9" i="24"/>
  <c r="H17" i="24"/>
  <c r="Q8" i="24"/>
  <c r="P8" i="24"/>
  <c r="G17" i="24"/>
  <c r="Q7" i="24"/>
  <c r="P7" i="24"/>
  <c r="F17" i="24"/>
  <c r="Q6" i="24"/>
  <c r="P6" i="24"/>
  <c r="E17" i="24"/>
  <c r="Q5" i="24"/>
  <c r="P5" i="24"/>
  <c r="D17" i="24"/>
  <c r="Q4" i="24"/>
  <c r="P4" i="24"/>
  <c r="C17" i="24"/>
  <c r="Q3" i="24"/>
  <c r="P3" i="24"/>
  <c r="B17" i="24"/>
  <c r="T2" i="24"/>
  <c r="P144" i="23"/>
  <c r="T9" i="23" s="1"/>
  <c r="Q142" i="23"/>
  <c r="P142" i="23"/>
  <c r="O143" i="23"/>
  <c r="Q141" i="23"/>
  <c r="P141" i="23"/>
  <c r="N143" i="23"/>
  <c r="Q140" i="23"/>
  <c r="P140" i="23"/>
  <c r="M143" i="23"/>
  <c r="Q139" i="23"/>
  <c r="P139" i="23"/>
  <c r="L143" i="23"/>
  <c r="Q138" i="23"/>
  <c r="P138" i="23"/>
  <c r="K143" i="23"/>
  <c r="Q137" i="23"/>
  <c r="P137" i="23"/>
  <c r="J143" i="23"/>
  <c r="Q136" i="23"/>
  <c r="P136" i="23"/>
  <c r="I143" i="23"/>
  <c r="Q135" i="23"/>
  <c r="P135" i="23"/>
  <c r="H143" i="23"/>
  <c r="Q134" i="23"/>
  <c r="P134" i="23"/>
  <c r="G143" i="23"/>
  <c r="Q133" i="23"/>
  <c r="P133" i="23"/>
  <c r="F143" i="23"/>
  <c r="Q132" i="23"/>
  <c r="P132" i="23"/>
  <c r="E143" i="23"/>
  <c r="Q131" i="23"/>
  <c r="P131" i="23"/>
  <c r="D143" i="23"/>
  <c r="Q130" i="23"/>
  <c r="P130" i="23"/>
  <c r="C143" i="23"/>
  <c r="Q129" i="23"/>
  <c r="P129" i="23"/>
  <c r="B143" i="23"/>
  <c r="P126" i="23"/>
  <c r="Q124" i="23"/>
  <c r="P124" i="23"/>
  <c r="O125" i="23"/>
  <c r="Q123" i="23"/>
  <c r="P123" i="23"/>
  <c r="N125" i="23"/>
  <c r="Q122" i="23"/>
  <c r="P122" i="23"/>
  <c r="M125" i="23"/>
  <c r="Q121" i="23"/>
  <c r="P121" i="23"/>
  <c r="L125" i="23"/>
  <c r="Q120" i="23"/>
  <c r="P120" i="23"/>
  <c r="K125" i="23"/>
  <c r="Q119" i="23"/>
  <c r="P119" i="23"/>
  <c r="J125" i="23"/>
  <c r="Q118" i="23"/>
  <c r="P118" i="23"/>
  <c r="I125" i="23"/>
  <c r="Q117" i="23"/>
  <c r="P117" i="23"/>
  <c r="H125" i="23"/>
  <c r="Q116" i="23"/>
  <c r="P116" i="23"/>
  <c r="G125" i="23"/>
  <c r="Q115" i="23"/>
  <c r="P115" i="23"/>
  <c r="F125" i="23"/>
  <c r="Q114" i="23"/>
  <c r="P114" i="23"/>
  <c r="E125" i="23"/>
  <c r="Q113" i="23"/>
  <c r="P113" i="23"/>
  <c r="D125" i="23"/>
  <c r="Q112" i="23"/>
  <c r="P112" i="23"/>
  <c r="C125" i="23"/>
  <c r="Q111" i="23"/>
  <c r="P111" i="23"/>
  <c r="B125" i="23"/>
  <c r="T8" i="23"/>
  <c r="P108" i="23"/>
  <c r="T7" i="23" s="1"/>
  <c r="Q106" i="23"/>
  <c r="P106" i="23"/>
  <c r="O107" i="23"/>
  <c r="Q105" i="23"/>
  <c r="P105" i="23"/>
  <c r="N107" i="23"/>
  <c r="Q104" i="23"/>
  <c r="P104" i="23"/>
  <c r="M107" i="23"/>
  <c r="Q103" i="23"/>
  <c r="P103" i="23"/>
  <c r="L107" i="23"/>
  <c r="Q102" i="23"/>
  <c r="P102" i="23"/>
  <c r="K107" i="23"/>
  <c r="Q101" i="23"/>
  <c r="P101" i="23"/>
  <c r="J107" i="23"/>
  <c r="Q100" i="23"/>
  <c r="P100" i="23"/>
  <c r="I107" i="23"/>
  <c r="Q99" i="23"/>
  <c r="P99" i="23"/>
  <c r="H107" i="23"/>
  <c r="Q98" i="23"/>
  <c r="P98" i="23"/>
  <c r="G107" i="23"/>
  <c r="Q97" i="23"/>
  <c r="P97" i="23"/>
  <c r="F107" i="23"/>
  <c r="Q96" i="23"/>
  <c r="P96" i="23"/>
  <c r="E107" i="23"/>
  <c r="Q95" i="23"/>
  <c r="P95" i="23"/>
  <c r="D107" i="23"/>
  <c r="Q94" i="23"/>
  <c r="P94" i="23"/>
  <c r="C107" i="23"/>
  <c r="Q93" i="23"/>
  <c r="P93" i="23"/>
  <c r="B107" i="23"/>
  <c r="P90" i="23"/>
  <c r="T6" i="23" s="1"/>
  <c r="Q88" i="23"/>
  <c r="P88" i="23"/>
  <c r="O89" i="23"/>
  <c r="Q87" i="23"/>
  <c r="P87" i="23"/>
  <c r="N89" i="23"/>
  <c r="Q86" i="23"/>
  <c r="P86" i="23"/>
  <c r="M89" i="23"/>
  <c r="Q85" i="23"/>
  <c r="P85" i="23"/>
  <c r="L89" i="23"/>
  <c r="Q84" i="23"/>
  <c r="P84" i="23"/>
  <c r="K89" i="23"/>
  <c r="Q83" i="23"/>
  <c r="P83" i="23"/>
  <c r="J89" i="23"/>
  <c r="Q82" i="23"/>
  <c r="P82" i="23"/>
  <c r="I89" i="23"/>
  <c r="Q81" i="23"/>
  <c r="P81" i="23"/>
  <c r="H89" i="23"/>
  <c r="Q80" i="23"/>
  <c r="P80" i="23"/>
  <c r="G89" i="23"/>
  <c r="Q79" i="23"/>
  <c r="P79" i="23"/>
  <c r="F89" i="23"/>
  <c r="Q78" i="23"/>
  <c r="P78" i="23"/>
  <c r="E89" i="23"/>
  <c r="Q77" i="23"/>
  <c r="P77" i="23"/>
  <c r="D89" i="23"/>
  <c r="Q76" i="23"/>
  <c r="P76" i="23"/>
  <c r="C89" i="23"/>
  <c r="Q75" i="23"/>
  <c r="P75" i="23"/>
  <c r="B89" i="23"/>
  <c r="P72" i="23"/>
  <c r="T5" i="23" s="1"/>
  <c r="Q70" i="23"/>
  <c r="P70" i="23"/>
  <c r="O71" i="23"/>
  <c r="Q69" i="23"/>
  <c r="P69" i="23"/>
  <c r="N71" i="23"/>
  <c r="Q68" i="23"/>
  <c r="P68" i="23"/>
  <c r="M71" i="23"/>
  <c r="Q67" i="23"/>
  <c r="P67" i="23"/>
  <c r="L71" i="23"/>
  <c r="Q66" i="23"/>
  <c r="P66" i="23"/>
  <c r="K71" i="23"/>
  <c r="Q65" i="23"/>
  <c r="P65" i="23"/>
  <c r="J71" i="23"/>
  <c r="Q64" i="23"/>
  <c r="P64" i="23"/>
  <c r="I71" i="23"/>
  <c r="Q63" i="23"/>
  <c r="P63" i="23"/>
  <c r="H71" i="23"/>
  <c r="Q62" i="23"/>
  <c r="P62" i="23"/>
  <c r="G71" i="23"/>
  <c r="Q61" i="23"/>
  <c r="P61" i="23"/>
  <c r="F71" i="23"/>
  <c r="Q60" i="23"/>
  <c r="P60" i="23"/>
  <c r="E71" i="23"/>
  <c r="Q59" i="23"/>
  <c r="P59" i="23"/>
  <c r="D71" i="23"/>
  <c r="Q58" i="23"/>
  <c r="P58" i="23"/>
  <c r="C71" i="23"/>
  <c r="Q57" i="23"/>
  <c r="P57" i="23"/>
  <c r="B71" i="23"/>
  <c r="P54" i="23"/>
  <c r="T4" i="23" s="1"/>
  <c r="Q52" i="23"/>
  <c r="P52" i="23"/>
  <c r="O53" i="23"/>
  <c r="Q51" i="23"/>
  <c r="P51" i="23"/>
  <c r="N53" i="23"/>
  <c r="Q50" i="23"/>
  <c r="P50" i="23"/>
  <c r="M53" i="23"/>
  <c r="Q49" i="23"/>
  <c r="P49" i="23"/>
  <c r="L53" i="23"/>
  <c r="Q48" i="23"/>
  <c r="P48" i="23"/>
  <c r="K53" i="23"/>
  <c r="Q47" i="23"/>
  <c r="P47" i="23"/>
  <c r="J53" i="23"/>
  <c r="Q46" i="23"/>
  <c r="P46" i="23"/>
  <c r="I53" i="23"/>
  <c r="Q45" i="23"/>
  <c r="P45" i="23"/>
  <c r="H53" i="23"/>
  <c r="Q44" i="23"/>
  <c r="P44" i="23"/>
  <c r="G53" i="23"/>
  <c r="Q43" i="23"/>
  <c r="P43" i="23"/>
  <c r="F53" i="23"/>
  <c r="Q42" i="23"/>
  <c r="P42" i="23"/>
  <c r="E53" i="23"/>
  <c r="Q41" i="23"/>
  <c r="P41" i="23"/>
  <c r="D53" i="23"/>
  <c r="Q40" i="23"/>
  <c r="P40" i="23"/>
  <c r="C53" i="23"/>
  <c r="Q39" i="23"/>
  <c r="P39" i="23"/>
  <c r="B53" i="23"/>
  <c r="P36" i="23"/>
  <c r="T3" i="23" s="1"/>
  <c r="Q34" i="23"/>
  <c r="P34" i="23"/>
  <c r="O35" i="23"/>
  <c r="Q33" i="23"/>
  <c r="P33" i="23"/>
  <c r="N35" i="23"/>
  <c r="Q32" i="23"/>
  <c r="P32" i="23"/>
  <c r="M35" i="23"/>
  <c r="Q31" i="23"/>
  <c r="P31" i="23"/>
  <c r="L35" i="23"/>
  <c r="Q30" i="23"/>
  <c r="P30" i="23"/>
  <c r="K35" i="23"/>
  <c r="Q29" i="23"/>
  <c r="P29" i="23"/>
  <c r="J35" i="23"/>
  <c r="Q28" i="23"/>
  <c r="P28" i="23"/>
  <c r="I35" i="23"/>
  <c r="Q27" i="23"/>
  <c r="P27" i="23"/>
  <c r="H35" i="23"/>
  <c r="Q26" i="23"/>
  <c r="P26" i="23"/>
  <c r="G35" i="23"/>
  <c r="Q25" i="23"/>
  <c r="P25" i="23"/>
  <c r="F35" i="23"/>
  <c r="Q24" i="23"/>
  <c r="P24" i="23"/>
  <c r="E35" i="23"/>
  <c r="Q23" i="23"/>
  <c r="P23" i="23"/>
  <c r="D35" i="23"/>
  <c r="Q22" i="23"/>
  <c r="P22" i="23"/>
  <c r="C35" i="23"/>
  <c r="Q21" i="23"/>
  <c r="P21" i="23"/>
  <c r="B35" i="23"/>
  <c r="P18" i="23"/>
  <c r="T2" i="23" s="1"/>
  <c r="Q16" i="23"/>
  <c r="P16" i="23"/>
  <c r="O17" i="23"/>
  <c r="Q15" i="23"/>
  <c r="P15" i="23"/>
  <c r="N17" i="23"/>
  <c r="Q14" i="23"/>
  <c r="P14" i="23"/>
  <c r="M17" i="23"/>
  <c r="Q13" i="23"/>
  <c r="P13" i="23"/>
  <c r="L17" i="23"/>
  <c r="Q12" i="23"/>
  <c r="P12" i="23"/>
  <c r="K17" i="23"/>
  <c r="Q11" i="23"/>
  <c r="P11" i="23"/>
  <c r="J17" i="23"/>
  <c r="Q10" i="23"/>
  <c r="P10" i="23"/>
  <c r="I17" i="23"/>
  <c r="Q9" i="23"/>
  <c r="P9" i="23"/>
  <c r="H17" i="23"/>
  <c r="Q8" i="23"/>
  <c r="P8" i="23"/>
  <c r="G17" i="23"/>
  <c r="Q7" i="23"/>
  <c r="P7" i="23"/>
  <c r="F17" i="23"/>
  <c r="Q6" i="23"/>
  <c r="P6" i="23"/>
  <c r="E17" i="23"/>
  <c r="Q5" i="23"/>
  <c r="P5" i="23"/>
  <c r="D17" i="23"/>
  <c r="Q4" i="23"/>
  <c r="P4" i="23"/>
  <c r="C17" i="23"/>
  <c r="Q3" i="23"/>
  <c r="P3" i="23"/>
  <c r="B17" i="23"/>
  <c r="P144" i="25"/>
  <c r="T9" i="25" s="1"/>
  <c r="Q142" i="25"/>
  <c r="P142" i="25"/>
  <c r="O143" i="25"/>
  <c r="Q141" i="25"/>
  <c r="P141" i="25"/>
  <c r="N143" i="25"/>
  <c r="Q140" i="25"/>
  <c r="P140" i="25"/>
  <c r="M143" i="25"/>
  <c r="Q139" i="25"/>
  <c r="P139" i="25"/>
  <c r="L143" i="25"/>
  <c r="Q138" i="25"/>
  <c r="P138" i="25"/>
  <c r="K143" i="25"/>
  <c r="Q137" i="25"/>
  <c r="P137" i="25"/>
  <c r="J143" i="25"/>
  <c r="Q136" i="25"/>
  <c r="P136" i="25"/>
  <c r="I143" i="25"/>
  <c r="Q135" i="25"/>
  <c r="P135" i="25"/>
  <c r="H143" i="25"/>
  <c r="Q134" i="25"/>
  <c r="P134" i="25"/>
  <c r="G143" i="25"/>
  <c r="Q133" i="25"/>
  <c r="P133" i="25"/>
  <c r="F143" i="25"/>
  <c r="Q132" i="25"/>
  <c r="P132" i="25"/>
  <c r="E143" i="25"/>
  <c r="Q131" i="25"/>
  <c r="P131" i="25"/>
  <c r="D143" i="25"/>
  <c r="Q130" i="25"/>
  <c r="P130" i="25"/>
  <c r="C143" i="25"/>
  <c r="Q129" i="25"/>
  <c r="P129" i="25"/>
  <c r="B143" i="25"/>
  <c r="P126" i="25"/>
  <c r="T8" i="25" s="1"/>
  <c r="Q124" i="25"/>
  <c r="P124" i="25"/>
  <c r="O125" i="25"/>
  <c r="Q123" i="25"/>
  <c r="P123" i="25"/>
  <c r="N125" i="25"/>
  <c r="Q122" i="25"/>
  <c r="P122" i="25"/>
  <c r="M125" i="25"/>
  <c r="Q121" i="25"/>
  <c r="P121" i="25"/>
  <c r="L125" i="25"/>
  <c r="Q120" i="25"/>
  <c r="P120" i="25"/>
  <c r="K125" i="25"/>
  <c r="Q119" i="25"/>
  <c r="P119" i="25"/>
  <c r="J125" i="25"/>
  <c r="Q118" i="25"/>
  <c r="P118" i="25"/>
  <c r="I125" i="25"/>
  <c r="Q117" i="25"/>
  <c r="P117" i="25"/>
  <c r="H125" i="25"/>
  <c r="Q116" i="25"/>
  <c r="P116" i="25"/>
  <c r="G125" i="25"/>
  <c r="Q115" i="25"/>
  <c r="P115" i="25"/>
  <c r="F125" i="25"/>
  <c r="Q114" i="25"/>
  <c r="P114" i="25"/>
  <c r="E125" i="25"/>
  <c r="Q113" i="25"/>
  <c r="P113" i="25"/>
  <c r="D125" i="25"/>
  <c r="Q112" i="25"/>
  <c r="P112" i="25"/>
  <c r="C125" i="25"/>
  <c r="Q111" i="25"/>
  <c r="P111" i="25"/>
  <c r="B125" i="25"/>
  <c r="P108" i="25"/>
  <c r="T7" i="25" s="1"/>
  <c r="Q106" i="25"/>
  <c r="P106" i="25"/>
  <c r="O107" i="25"/>
  <c r="Q105" i="25"/>
  <c r="P105" i="25"/>
  <c r="N107" i="25"/>
  <c r="Q104" i="25"/>
  <c r="P104" i="25"/>
  <c r="M107" i="25"/>
  <c r="Q103" i="25"/>
  <c r="P103" i="25"/>
  <c r="L107" i="25"/>
  <c r="Q102" i="25"/>
  <c r="P102" i="25"/>
  <c r="K107" i="25"/>
  <c r="Q101" i="25"/>
  <c r="P101" i="25"/>
  <c r="J107" i="25"/>
  <c r="Q100" i="25"/>
  <c r="P100" i="25"/>
  <c r="I107" i="25"/>
  <c r="Q99" i="25"/>
  <c r="P99" i="25"/>
  <c r="H107" i="25"/>
  <c r="Q98" i="25"/>
  <c r="P98" i="25"/>
  <c r="G107" i="25"/>
  <c r="Q97" i="25"/>
  <c r="P97" i="25"/>
  <c r="F107" i="25"/>
  <c r="Q96" i="25"/>
  <c r="P96" i="25"/>
  <c r="E107" i="25"/>
  <c r="Q95" i="25"/>
  <c r="P95" i="25"/>
  <c r="D107" i="25"/>
  <c r="Q94" i="25"/>
  <c r="P94" i="25"/>
  <c r="C107" i="25"/>
  <c r="Q93" i="25"/>
  <c r="P93" i="25"/>
  <c r="B107" i="25"/>
  <c r="P90" i="25"/>
  <c r="T6" i="25" s="1"/>
  <c r="Q88" i="25"/>
  <c r="P88" i="25"/>
  <c r="O89" i="25"/>
  <c r="Q87" i="25"/>
  <c r="P87" i="25"/>
  <c r="N89" i="25"/>
  <c r="Q86" i="25"/>
  <c r="P86" i="25"/>
  <c r="M89" i="25"/>
  <c r="Q85" i="25"/>
  <c r="P85" i="25"/>
  <c r="L89" i="25"/>
  <c r="Q84" i="25"/>
  <c r="P84" i="25"/>
  <c r="K89" i="25"/>
  <c r="Q83" i="25"/>
  <c r="P83" i="25"/>
  <c r="J89" i="25"/>
  <c r="Q82" i="25"/>
  <c r="P82" i="25"/>
  <c r="I89" i="25"/>
  <c r="Q81" i="25"/>
  <c r="P81" i="25"/>
  <c r="H89" i="25"/>
  <c r="Q80" i="25"/>
  <c r="P80" i="25"/>
  <c r="G89" i="25"/>
  <c r="Q79" i="25"/>
  <c r="P79" i="25"/>
  <c r="F89" i="25"/>
  <c r="Q78" i="25"/>
  <c r="P78" i="25"/>
  <c r="E89" i="25"/>
  <c r="Q77" i="25"/>
  <c r="P77" i="25"/>
  <c r="D89" i="25"/>
  <c r="Q76" i="25"/>
  <c r="P76" i="25"/>
  <c r="C89" i="25"/>
  <c r="Q75" i="25"/>
  <c r="P75" i="25"/>
  <c r="B89" i="25"/>
  <c r="P72" i="25"/>
  <c r="T5" i="25" s="1"/>
  <c r="Q70" i="25"/>
  <c r="P70" i="25"/>
  <c r="O71" i="25"/>
  <c r="Q69" i="25"/>
  <c r="P69" i="25"/>
  <c r="N71" i="25"/>
  <c r="Q68" i="25"/>
  <c r="P68" i="25"/>
  <c r="M71" i="25"/>
  <c r="Q67" i="25"/>
  <c r="P67" i="25"/>
  <c r="L71" i="25"/>
  <c r="Q66" i="25"/>
  <c r="P66" i="25"/>
  <c r="K71" i="25"/>
  <c r="Q65" i="25"/>
  <c r="P65" i="25"/>
  <c r="J71" i="25"/>
  <c r="Q64" i="25"/>
  <c r="P64" i="25"/>
  <c r="I71" i="25"/>
  <c r="Q63" i="25"/>
  <c r="P63" i="25"/>
  <c r="H71" i="25"/>
  <c r="Q62" i="25"/>
  <c r="P62" i="25"/>
  <c r="G71" i="25"/>
  <c r="Q61" i="25"/>
  <c r="P61" i="25"/>
  <c r="F71" i="25"/>
  <c r="Q60" i="25"/>
  <c r="P60" i="25"/>
  <c r="E71" i="25"/>
  <c r="Q59" i="25"/>
  <c r="P59" i="25"/>
  <c r="D71" i="25"/>
  <c r="Q58" i="25"/>
  <c r="P58" i="25"/>
  <c r="C71" i="25"/>
  <c r="Q57" i="25"/>
  <c r="P57" i="25"/>
  <c r="B71" i="25"/>
  <c r="P54" i="25"/>
  <c r="T4" i="25" s="1"/>
  <c r="Q52" i="25"/>
  <c r="P52" i="25"/>
  <c r="O53" i="25"/>
  <c r="Q51" i="25"/>
  <c r="P51" i="25"/>
  <c r="N53" i="25"/>
  <c r="Q50" i="25"/>
  <c r="P50" i="25"/>
  <c r="M53" i="25"/>
  <c r="Q49" i="25"/>
  <c r="P49" i="25"/>
  <c r="L53" i="25"/>
  <c r="Q48" i="25"/>
  <c r="P48" i="25"/>
  <c r="K53" i="25"/>
  <c r="Q47" i="25"/>
  <c r="P47" i="25"/>
  <c r="J53" i="25"/>
  <c r="Q46" i="25"/>
  <c r="P46" i="25"/>
  <c r="I53" i="25"/>
  <c r="Q45" i="25"/>
  <c r="P45" i="25"/>
  <c r="H53" i="25"/>
  <c r="Q44" i="25"/>
  <c r="P44" i="25"/>
  <c r="G53" i="25"/>
  <c r="Q43" i="25"/>
  <c r="P43" i="25"/>
  <c r="F53" i="25"/>
  <c r="Q42" i="25"/>
  <c r="P42" i="25"/>
  <c r="E53" i="25"/>
  <c r="Q41" i="25"/>
  <c r="P41" i="25"/>
  <c r="D53" i="25"/>
  <c r="Q40" i="25"/>
  <c r="P40" i="25"/>
  <c r="C53" i="25"/>
  <c r="Q39" i="25"/>
  <c r="P39" i="25"/>
  <c r="B53" i="25"/>
  <c r="P36" i="25"/>
  <c r="T3" i="25" s="1"/>
  <c r="Q34" i="25"/>
  <c r="P34" i="25"/>
  <c r="O35" i="25"/>
  <c r="Q33" i="25"/>
  <c r="P33" i="25"/>
  <c r="N35" i="25"/>
  <c r="Q32" i="25"/>
  <c r="P32" i="25"/>
  <c r="M35" i="25"/>
  <c r="Q31" i="25"/>
  <c r="P31" i="25"/>
  <c r="L35" i="25"/>
  <c r="Q30" i="25"/>
  <c r="P30" i="25"/>
  <c r="K35" i="25"/>
  <c r="Q29" i="25"/>
  <c r="P29" i="25"/>
  <c r="J35" i="25"/>
  <c r="Q28" i="25"/>
  <c r="P28" i="25"/>
  <c r="I35" i="25"/>
  <c r="Q27" i="25"/>
  <c r="P27" i="25"/>
  <c r="H35" i="25"/>
  <c r="Q26" i="25"/>
  <c r="P26" i="25"/>
  <c r="G35" i="25"/>
  <c r="Q25" i="25"/>
  <c r="P25" i="25"/>
  <c r="F35" i="25"/>
  <c r="Q24" i="25"/>
  <c r="P24" i="25"/>
  <c r="E35" i="25"/>
  <c r="Q23" i="25"/>
  <c r="P23" i="25"/>
  <c r="D35" i="25"/>
  <c r="Q22" i="25"/>
  <c r="P22" i="25"/>
  <c r="C35" i="25"/>
  <c r="Q21" i="25"/>
  <c r="P21" i="25"/>
  <c r="B35" i="25"/>
  <c r="P18" i="25"/>
  <c r="T2" i="25" s="1"/>
  <c r="Q16" i="25"/>
  <c r="P16" i="25"/>
  <c r="O17" i="25"/>
  <c r="Q15" i="25"/>
  <c r="P15" i="25"/>
  <c r="N17" i="25"/>
  <c r="Q14" i="25"/>
  <c r="P14" i="25"/>
  <c r="M17" i="25"/>
  <c r="Q13" i="25"/>
  <c r="P13" i="25"/>
  <c r="L17" i="25"/>
  <c r="Q12" i="25"/>
  <c r="P12" i="25"/>
  <c r="K17" i="25"/>
  <c r="Q11" i="25"/>
  <c r="P11" i="25"/>
  <c r="J17" i="25"/>
  <c r="Q10" i="25"/>
  <c r="P10" i="25"/>
  <c r="I17" i="25"/>
  <c r="Q9" i="25"/>
  <c r="P9" i="25"/>
  <c r="H17" i="25"/>
  <c r="Q8" i="25"/>
  <c r="P8" i="25"/>
  <c r="G17" i="25"/>
  <c r="Q7" i="25"/>
  <c r="P7" i="25"/>
  <c r="F17" i="25"/>
  <c r="Q6" i="25"/>
  <c r="P6" i="25"/>
  <c r="E17" i="25"/>
  <c r="Q5" i="25"/>
  <c r="P5" i="25"/>
  <c r="D17" i="25"/>
  <c r="Q4" i="25"/>
  <c r="P4" i="25"/>
  <c r="C17" i="25"/>
  <c r="Q3" i="25"/>
  <c r="P3" i="25"/>
  <c r="B17" i="25"/>
  <c r="P144" i="22"/>
  <c r="T9" i="22" s="1"/>
  <c r="Q142" i="22"/>
  <c r="P142" i="22"/>
  <c r="O143" i="22"/>
  <c r="Q141" i="22"/>
  <c r="P141" i="22"/>
  <c r="N143" i="22"/>
  <c r="Q140" i="22"/>
  <c r="P140" i="22"/>
  <c r="M143" i="22"/>
  <c r="Q139" i="22"/>
  <c r="P139" i="22"/>
  <c r="L143" i="22"/>
  <c r="Q138" i="22"/>
  <c r="P138" i="22"/>
  <c r="K143" i="22"/>
  <c r="Q137" i="22"/>
  <c r="P137" i="22"/>
  <c r="J143" i="22"/>
  <c r="Q136" i="22"/>
  <c r="P136" i="22"/>
  <c r="I143" i="22"/>
  <c r="Q135" i="22"/>
  <c r="P135" i="22"/>
  <c r="H143" i="22"/>
  <c r="Q134" i="22"/>
  <c r="P134" i="22"/>
  <c r="G143" i="22"/>
  <c r="Q133" i="22"/>
  <c r="P133" i="22"/>
  <c r="F143" i="22"/>
  <c r="Q132" i="22"/>
  <c r="P132" i="22"/>
  <c r="E143" i="22"/>
  <c r="Q131" i="22"/>
  <c r="P131" i="22"/>
  <c r="D143" i="22"/>
  <c r="Q130" i="22"/>
  <c r="P130" i="22"/>
  <c r="C143" i="22"/>
  <c r="Q129" i="22"/>
  <c r="P129" i="22"/>
  <c r="B143" i="22"/>
  <c r="P126" i="22"/>
  <c r="Q124" i="22"/>
  <c r="P124" i="22"/>
  <c r="O125" i="22"/>
  <c r="Q123" i="22"/>
  <c r="P123" i="22"/>
  <c r="N125" i="22"/>
  <c r="Q122" i="22"/>
  <c r="P122" i="22"/>
  <c r="M125" i="22"/>
  <c r="Q121" i="22"/>
  <c r="P121" i="22"/>
  <c r="L125" i="22"/>
  <c r="Q120" i="22"/>
  <c r="P120" i="22"/>
  <c r="K125" i="22"/>
  <c r="Q119" i="22"/>
  <c r="P119" i="22"/>
  <c r="J125" i="22"/>
  <c r="Q118" i="22"/>
  <c r="P118" i="22"/>
  <c r="I125" i="22"/>
  <c r="Q117" i="22"/>
  <c r="P117" i="22"/>
  <c r="H125" i="22"/>
  <c r="Q116" i="22"/>
  <c r="P116" i="22"/>
  <c r="G125" i="22"/>
  <c r="Q115" i="22"/>
  <c r="P115" i="22"/>
  <c r="F125" i="22"/>
  <c r="Q114" i="22"/>
  <c r="P114" i="22"/>
  <c r="E125" i="22"/>
  <c r="Q113" i="22"/>
  <c r="P113" i="22"/>
  <c r="D125" i="22"/>
  <c r="Q112" i="22"/>
  <c r="P112" i="22"/>
  <c r="C125" i="22"/>
  <c r="Q111" i="22"/>
  <c r="P111" i="22"/>
  <c r="B125" i="22"/>
  <c r="T8" i="22"/>
  <c r="P108" i="22"/>
  <c r="T7" i="22" s="1"/>
  <c r="Q106" i="22"/>
  <c r="P106" i="22"/>
  <c r="O107" i="22"/>
  <c r="Q105" i="22"/>
  <c r="P105" i="22"/>
  <c r="N107" i="22"/>
  <c r="Q104" i="22"/>
  <c r="P104" i="22"/>
  <c r="M107" i="22"/>
  <c r="Q103" i="22"/>
  <c r="P103" i="22"/>
  <c r="L107" i="22"/>
  <c r="Q102" i="22"/>
  <c r="P102" i="22"/>
  <c r="K107" i="22"/>
  <c r="Q101" i="22"/>
  <c r="P101" i="22"/>
  <c r="J107" i="22"/>
  <c r="Q100" i="22"/>
  <c r="P100" i="22"/>
  <c r="I107" i="22"/>
  <c r="Q99" i="22"/>
  <c r="P99" i="22"/>
  <c r="H107" i="22"/>
  <c r="Q98" i="22"/>
  <c r="P98" i="22"/>
  <c r="G107" i="22"/>
  <c r="Q97" i="22"/>
  <c r="P97" i="22"/>
  <c r="F107" i="22"/>
  <c r="Q96" i="22"/>
  <c r="P96" i="22"/>
  <c r="E107" i="22"/>
  <c r="Q95" i="22"/>
  <c r="P95" i="22"/>
  <c r="D107" i="22"/>
  <c r="Q94" i="22"/>
  <c r="P94" i="22"/>
  <c r="C107" i="22"/>
  <c r="Q93" i="22"/>
  <c r="P93" i="22"/>
  <c r="B107" i="22"/>
  <c r="P90" i="22"/>
  <c r="T6" i="22" s="1"/>
  <c r="Q88" i="22"/>
  <c r="P88" i="22"/>
  <c r="O89" i="22"/>
  <c r="Q87" i="22"/>
  <c r="P87" i="22"/>
  <c r="N89" i="22"/>
  <c r="Q86" i="22"/>
  <c r="P86" i="22"/>
  <c r="M89" i="22"/>
  <c r="Q85" i="22"/>
  <c r="P85" i="22"/>
  <c r="L89" i="22"/>
  <c r="Q84" i="22"/>
  <c r="P84" i="22"/>
  <c r="K89" i="22"/>
  <c r="Q83" i="22"/>
  <c r="P83" i="22"/>
  <c r="J89" i="22"/>
  <c r="Q82" i="22"/>
  <c r="P82" i="22"/>
  <c r="I89" i="22"/>
  <c r="Q81" i="22"/>
  <c r="P81" i="22"/>
  <c r="H89" i="22"/>
  <c r="Q80" i="22"/>
  <c r="P80" i="22"/>
  <c r="G89" i="22"/>
  <c r="Q79" i="22"/>
  <c r="P79" i="22"/>
  <c r="F89" i="22"/>
  <c r="Q78" i="22"/>
  <c r="P78" i="22"/>
  <c r="E89" i="22"/>
  <c r="Q77" i="22"/>
  <c r="P77" i="22"/>
  <c r="D89" i="22"/>
  <c r="Q76" i="22"/>
  <c r="P76" i="22"/>
  <c r="C89" i="22"/>
  <c r="Q75" i="22"/>
  <c r="P75" i="22"/>
  <c r="B89" i="22"/>
  <c r="P72" i="22"/>
  <c r="T5" i="22" s="1"/>
  <c r="Q70" i="22"/>
  <c r="P70" i="22"/>
  <c r="O71" i="22"/>
  <c r="Q69" i="22"/>
  <c r="P69" i="22"/>
  <c r="N71" i="22"/>
  <c r="Q68" i="22"/>
  <c r="P68" i="22"/>
  <c r="M71" i="22"/>
  <c r="Q67" i="22"/>
  <c r="P67" i="22"/>
  <c r="L71" i="22"/>
  <c r="Q66" i="22"/>
  <c r="P66" i="22"/>
  <c r="K71" i="22"/>
  <c r="Q65" i="22"/>
  <c r="P65" i="22"/>
  <c r="J71" i="22"/>
  <c r="Q64" i="22"/>
  <c r="P64" i="22"/>
  <c r="I71" i="22"/>
  <c r="Q63" i="22"/>
  <c r="P63" i="22"/>
  <c r="H71" i="22"/>
  <c r="Q62" i="22"/>
  <c r="P62" i="22"/>
  <c r="G71" i="22"/>
  <c r="Q61" i="22"/>
  <c r="P61" i="22"/>
  <c r="F71" i="22"/>
  <c r="Q60" i="22"/>
  <c r="P60" i="22"/>
  <c r="E71" i="22"/>
  <c r="Q59" i="22"/>
  <c r="P59" i="22"/>
  <c r="D71" i="22"/>
  <c r="Q58" i="22"/>
  <c r="P58" i="22"/>
  <c r="C71" i="22"/>
  <c r="Q57" i="22"/>
  <c r="P57" i="22"/>
  <c r="B71" i="22"/>
  <c r="P54" i="22"/>
  <c r="T4" i="22" s="1"/>
  <c r="Q52" i="22"/>
  <c r="P52" i="22"/>
  <c r="O53" i="22"/>
  <c r="Q51" i="22"/>
  <c r="P51" i="22"/>
  <c r="N53" i="22"/>
  <c r="Q50" i="22"/>
  <c r="P50" i="22"/>
  <c r="M53" i="22"/>
  <c r="Q49" i="22"/>
  <c r="P49" i="22"/>
  <c r="L53" i="22"/>
  <c r="Q48" i="22"/>
  <c r="P48" i="22"/>
  <c r="K53" i="22"/>
  <c r="Q47" i="22"/>
  <c r="P47" i="22"/>
  <c r="J53" i="22"/>
  <c r="Q46" i="22"/>
  <c r="P46" i="22"/>
  <c r="I53" i="22"/>
  <c r="Q45" i="22"/>
  <c r="P45" i="22"/>
  <c r="H53" i="22"/>
  <c r="Q44" i="22"/>
  <c r="P44" i="22"/>
  <c r="G53" i="22"/>
  <c r="Q43" i="22"/>
  <c r="P43" i="22"/>
  <c r="F53" i="22"/>
  <c r="Q42" i="22"/>
  <c r="P42" i="22"/>
  <c r="E53" i="22"/>
  <c r="Q41" i="22"/>
  <c r="P41" i="22"/>
  <c r="D53" i="22"/>
  <c r="Q40" i="22"/>
  <c r="P40" i="22"/>
  <c r="C53" i="22"/>
  <c r="Q39" i="22"/>
  <c r="P39" i="22"/>
  <c r="B53" i="22"/>
  <c r="P36" i="22"/>
  <c r="T3" i="22" s="1"/>
  <c r="Q34" i="22"/>
  <c r="P34" i="22"/>
  <c r="O35" i="22"/>
  <c r="Q33" i="22"/>
  <c r="P33" i="22"/>
  <c r="N35" i="22"/>
  <c r="Q32" i="22"/>
  <c r="P32" i="22"/>
  <c r="M35" i="22"/>
  <c r="Q31" i="22"/>
  <c r="P31" i="22"/>
  <c r="L35" i="22"/>
  <c r="Q30" i="22"/>
  <c r="P30" i="22"/>
  <c r="K35" i="22"/>
  <c r="Q29" i="22"/>
  <c r="P29" i="22"/>
  <c r="J35" i="22"/>
  <c r="Q28" i="22"/>
  <c r="P28" i="22"/>
  <c r="I35" i="22"/>
  <c r="Q27" i="22"/>
  <c r="P27" i="22"/>
  <c r="H35" i="22"/>
  <c r="Q26" i="22"/>
  <c r="P26" i="22"/>
  <c r="G35" i="22"/>
  <c r="Q25" i="22"/>
  <c r="P25" i="22"/>
  <c r="F35" i="22"/>
  <c r="Q24" i="22"/>
  <c r="P24" i="22"/>
  <c r="E35" i="22"/>
  <c r="Q23" i="22"/>
  <c r="P23" i="22"/>
  <c r="D35" i="22"/>
  <c r="Q22" i="22"/>
  <c r="P22" i="22"/>
  <c r="C35" i="22"/>
  <c r="Q21" i="22"/>
  <c r="P21" i="22"/>
  <c r="B35" i="22"/>
  <c r="P18" i="22"/>
  <c r="T2" i="22" s="1"/>
  <c r="Q16" i="22"/>
  <c r="P16" i="22"/>
  <c r="O17" i="22"/>
  <c r="Q15" i="22"/>
  <c r="P15" i="22"/>
  <c r="N17" i="22"/>
  <c r="Q14" i="22"/>
  <c r="P14" i="22"/>
  <c r="M17" i="22"/>
  <c r="Q13" i="22"/>
  <c r="P13" i="22"/>
  <c r="L17" i="22"/>
  <c r="Q12" i="22"/>
  <c r="P12" i="22"/>
  <c r="K17" i="22"/>
  <c r="Q11" i="22"/>
  <c r="P11" i="22"/>
  <c r="J17" i="22"/>
  <c r="Q10" i="22"/>
  <c r="P10" i="22"/>
  <c r="I17" i="22"/>
  <c r="Q9" i="22"/>
  <c r="P9" i="22"/>
  <c r="H17" i="22"/>
  <c r="Q8" i="22"/>
  <c r="P8" i="22"/>
  <c r="G17" i="22"/>
  <c r="Q7" i="22"/>
  <c r="P7" i="22"/>
  <c r="F17" i="22"/>
  <c r="Q6" i="22"/>
  <c r="P6" i="22"/>
  <c r="E17" i="22"/>
  <c r="Q5" i="22"/>
  <c r="P5" i="22"/>
  <c r="D17" i="22"/>
  <c r="Q4" i="22"/>
  <c r="P4" i="22"/>
  <c r="C17" i="22"/>
  <c r="Q3" i="22"/>
  <c r="P3" i="22"/>
  <c r="B17" i="22"/>
  <c r="P144" i="21"/>
  <c r="Q142" i="21"/>
  <c r="P142" i="21"/>
  <c r="O143" i="21"/>
  <c r="Q141" i="21"/>
  <c r="P141" i="21"/>
  <c r="N143" i="21"/>
  <c r="Q140" i="21"/>
  <c r="P140" i="21"/>
  <c r="M143" i="21"/>
  <c r="Q139" i="21"/>
  <c r="P139" i="21"/>
  <c r="L143" i="21"/>
  <c r="Q138" i="21"/>
  <c r="P138" i="21"/>
  <c r="K143" i="21"/>
  <c r="Q137" i="21"/>
  <c r="P137" i="21"/>
  <c r="J143" i="21"/>
  <c r="Q136" i="21"/>
  <c r="P136" i="21"/>
  <c r="I143" i="21"/>
  <c r="Q135" i="21"/>
  <c r="P135" i="21"/>
  <c r="H143" i="21"/>
  <c r="Q134" i="21"/>
  <c r="P134" i="21"/>
  <c r="G143" i="21"/>
  <c r="Q133" i="21"/>
  <c r="P133" i="21"/>
  <c r="F143" i="21"/>
  <c r="Q132" i="21"/>
  <c r="P132" i="21"/>
  <c r="E143" i="21"/>
  <c r="Q131" i="21"/>
  <c r="P131" i="21"/>
  <c r="D143" i="21"/>
  <c r="Q130" i="21"/>
  <c r="P130" i="21"/>
  <c r="C143" i="21"/>
  <c r="Q129" i="21"/>
  <c r="P129" i="21"/>
  <c r="B143" i="21"/>
  <c r="T9" i="21"/>
  <c r="P126" i="21"/>
  <c r="T8" i="21" s="1"/>
  <c r="Q124" i="21"/>
  <c r="P124" i="21"/>
  <c r="O125" i="21"/>
  <c r="Q123" i="21"/>
  <c r="P123" i="21"/>
  <c r="N125" i="21"/>
  <c r="Q122" i="21"/>
  <c r="P122" i="21"/>
  <c r="M125" i="21"/>
  <c r="Q121" i="21"/>
  <c r="P121" i="21"/>
  <c r="L125" i="21"/>
  <c r="Q120" i="21"/>
  <c r="P120" i="21"/>
  <c r="K125" i="21"/>
  <c r="Q119" i="21"/>
  <c r="P119" i="21"/>
  <c r="J125" i="21"/>
  <c r="Q118" i="21"/>
  <c r="P118" i="21"/>
  <c r="I125" i="21"/>
  <c r="Q117" i="21"/>
  <c r="P117" i="21"/>
  <c r="H125" i="21"/>
  <c r="Q116" i="21"/>
  <c r="P116" i="21"/>
  <c r="G125" i="21"/>
  <c r="Q115" i="21"/>
  <c r="P115" i="21"/>
  <c r="F125" i="21"/>
  <c r="Q114" i="21"/>
  <c r="P114" i="21"/>
  <c r="E125" i="21"/>
  <c r="Q113" i="21"/>
  <c r="P113" i="21"/>
  <c r="D125" i="21"/>
  <c r="Q112" i="21"/>
  <c r="P112" i="21"/>
  <c r="C125" i="21"/>
  <c r="Q111" i="21"/>
  <c r="P111" i="21"/>
  <c r="B125" i="21"/>
  <c r="P108" i="21"/>
  <c r="Q106" i="21"/>
  <c r="P106" i="21"/>
  <c r="O107" i="21"/>
  <c r="Q105" i="21"/>
  <c r="P105" i="21"/>
  <c r="N107" i="21"/>
  <c r="Q104" i="21"/>
  <c r="P104" i="21"/>
  <c r="M107" i="21"/>
  <c r="Q103" i="21"/>
  <c r="P103" i="21"/>
  <c r="L107" i="21"/>
  <c r="Q102" i="21"/>
  <c r="P102" i="21"/>
  <c r="K107" i="21"/>
  <c r="Q101" i="21"/>
  <c r="P101" i="21"/>
  <c r="J107" i="21"/>
  <c r="Q100" i="21"/>
  <c r="P100" i="21"/>
  <c r="I107" i="21"/>
  <c r="Q99" i="21"/>
  <c r="P99" i="21"/>
  <c r="H107" i="21"/>
  <c r="Q98" i="21"/>
  <c r="P98" i="21"/>
  <c r="G107" i="21"/>
  <c r="Q97" i="21"/>
  <c r="P97" i="21"/>
  <c r="F107" i="21"/>
  <c r="Q96" i="21"/>
  <c r="P96" i="21"/>
  <c r="E107" i="21"/>
  <c r="Q95" i="21"/>
  <c r="P95" i="21"/>
  <c r="D107" i="21"/>
  <c r="Q94" i="21"/>
  <c r="P94" i="21"/>
  <c r="C107" i="21"/>
  <c r="Q93" i="21"/>
  <c r="P93" i="21"/>
  <c r="B107" i="21"/>
  <c r="T7" i="21"/>
  <c r="P90" i="21"/>
  <c r="T6" i="21" s="1"/>
  <c r="Q88" i="21"/>
  <c r="P88" i="21"/>
  <c r="O89" i="21"/>
  <c r="Q87" i="21"/>
  <c r="P87" i="21"/>
  <c r="N89" i="21"/>
  <c r="Q86" i="21"/>
  <c r="P86" i="21"/>
  <c r="M89" i="21"/>
  <c r="Q85" i="21"/>
  <c r="P85" i="21"/>
  <c r="L89" i="21"/>
  <c r="Q84" i="21"/>
  <c r="P84" i="21"/>
  <c r="K89" i="21"/>
  <c r="Q83" i="21"/>
  <c r="P83" i="21"/>
  <c r="J89" i="21"/>
  <c r="Q82" i="21"/>
  <c r="P82" i="21"/>
  <c r="I89" i="21"/>
  <c r="Q81" i="21"/>
  <c r="P81" i="21"/>
  <c r="H89" i="21"/>
  <c r="Q80" i="21"/>
  <c r="P80" i="21"/>
  <c r="G89" i="21"/>
  <c r="Q79" i="21"/>
  <c r="P79" i="21"/>
  <c r="F89" i="21"/>
  <c r="Q78" i="21"/>
  <c r="P78" i="21"/>
  <c r="E89" i="21"/>
  <c r="Q77" i="21"/>
  <c r="P77" i="21"/>
  <c r="D89" i="21"/>
  <c r="Q76" i="21"/>
  <c r="P76" i="21"/>
  <c r="C89" i="21"/>
  <c r="Q75" i="21"/>
  <c r="P75" i="21"/>
  <c r="B89" i="21"/>
  <c r="P72" i="21"/>
  <c r="T5" i="21" s="1"/>
  <c r="Q70" i="21"/>
  <c r="P70" i="21"/>
  <c r="O71" i="21"/>
  <c r="Q69" i="21"/>
  <c r="P69" i="21"/>
  <c r="N71" i="21"/>
  <c r="Q68" i="21"/>
  <c r="P68" i="21"/>
  <c r="M71" i="21"/>
  <c r="Q67" i="21"/>
  <c r="P67" i="21"/>
  <c r="L71" i="21"/>
  <c r="Q66" i="21"/>
  <c r="P66" i="21"/>
  <c r="K71" i="21"/>
  <c r="Q65" i="21"/>
  <c r="P65" i="21"/>
  <c r="J71" i="21"/>
  <c r="Q64" i="21"/>
  <c r="P64" i="21"/>
  <c r="I71" i="21"/>
  <c r="Q63" i="21"/>
  <c r="P63" i="21"/>
  <c r="H71" i="21"/>
  <c r="Q62" i="21"/>
  <c r="P62" i="21"/>
  <c r="G71" i="21"/>
  <c r="Q61" i="21"/>
  <c r="P61" i="21"/>
  <c r="F71" i="21"/>
  <c r="Q60" i="21"/>
  <c r="P60" i="21"/>
  <c r="E71" i="21"/>
  <c r="Q59" i="21"/>
  <c r="P59" i="21"/>
  <c r="D71" i="21"/>
  <c r="Q58" i="21"/>
  <c r="P58" i="21"/>
  <c r="C71" i="21"/>
  <c r="Q57" i="21"/>
  <c r="P57" i="21"/>
  <c r="B71" i="21"/>
  <c r="P54" i="21"/>
  <c r="T4" i="21" s="1"/>
  <c r="Q52" i="21"/>
  <c r="P52" i="21"/>
  <c r="O53" i="21"/>
  <c r="Q51" i="21"/>
  <c r="P51" i="21"/>
  <c r="N53" i="21"/>
  <c r="Q50" i="21"/>
  <c r="P50" i="21"/>
  <c r="M53" i="21"/>
  <c r="Q49" i="21"/>
  <c r="P49" i="21"/>
  <c r="L53" i="21"/>
  <c r="Q48" i="21"/>
  <c r="P48" i="21"/>
  <c r="K53" i="21"/>
  <c r="Q47" i="21"/>
  <c r="P47" i="21"/>
  <c r="J53" i="21"/>
  <c r="Q46" i="21"/>
  <c r="P46" i="21"/>
  <c r="I53" i="21"/>
  <c r="Q45" i="21"/>
  <c r="P45" i="21"/>
  <c r="H53" i="21"/>
  <c r="Q44" i="21"/>
  <c r="P44" i="21"/>
  <c r="G53" i="21"/>
  <c r="Q43" i="21"/>
  <c r="P43" i="21"/>
  <c r="F53" i="21"/>
  <c r="Q42" i="21"/>
  <c r="P42" i="21"/>
  <c r="E53" i="21"/>
  <c r="Q41" i="21"/>
  <c r="P41" i="21"/>
  <c r="D53" i="21"/>
  <c r="Q40" i="21"/>
  <c r="P40" i="21"/>
  <c r="C53" i="21"/>
  <c r="Q39" i="21"/>
  <c r="P39" i="21"/>
  <c r="B53" i="21"/>
  <c r="P36" i="21"/>
  <c r="T3" i="21" s="1"/>
  <c r="Q34" i="21"/>
  <c r="P34" i="21"/>
  <c r="O35" i="21"/>
  <c r="Q33" i="21"/>
  <c r="P33" i="21"/>
  <c r="N35" i="21"/>
  <c r="Q32" i="21"/>
  <c r="P32" i="21"/>
  <c r="M35" i="21"/>
  <c r="Q31" i="21"/>
  <c r="P31" i="21"/>
  <c r="L35" i="21"/>
  <c r="Q30" i="21"/>
  <c r="P30" i="21"/>
  <c r="K35" i="21"/>
  <c r="Q29" i="21"/>
  <c r="P29" i="21"/>
  <c r="J35" i="21"/>
  <c r="Q28" i="21"/>
  <c r="P28" i="21"/>
  <c r="I35" i="21"/>
  <c r="Q27" i="21"/>
  <c r="P27" i="21"/>
  <c r="H35" i="21"/>
  <c r="Q26" i="21"/>
  <c r="P26" i="21"/>
  <c r="G35" i="21"/>
  <c r="Q25" i="21"/>
  <c r="P25" i="21"/>
  <c r="F35" i="21"/>
  <c r="Q24" i="21"/>
  <c r="P24" i="21"/>
  <c r="E35" i="21"/>
  <c r="Q23" i="21"/>
  <c r="P23" i="21"/>
  <c r="D35" i="21"/>
  <c r="Q22" i="21"/>
  <c r="P22" i="21"/>
  <c r="C35" i="21"/>
  <c r="Q21" i="21"/>
  <c r="P21" i="21"/>
  <c r="B35" i="21"/>
  <c r="P18" i="21"/>
  <c r="Q16" i="21"/>
  <c r="P16" i="21"/>
  <c r="O17" i="21"/>
  <c r="Q15" i="21"/>
  <c r="P15" i="21"/>
  <c r="N17" i="21"/>
  <c r="Q14" i="21"/>
  <c r="P14" i="21"/>
  <c r="M17" i="21"/>
  <c r="Q13" i="21"/>
  <c r="P13" i="21"/>
  <c r="L17" i="21"/>
  <c r="Q12" i="21"/>
  <c r="P12" i="21"/>
  <c r="K17" i="21"/>
  <c r="Q11" i="21"/>
  <c r="P11" i="21"/>
  <c r="J17" i="21"/>
  <c r="Q10" i="21"/>
  <c r="P10" i="21"/>
  <c r="I17" i="21"/>
  <c r="Q9" i="21"/>
  <c r="P9" i="21"/>
  <c r="H17" i="21"/>
  <c r="Q8" i="21"/>
  <c r="P8" i="21"/>
  <c r="G17" i="21"/>
  <c r="Q7" i="21"/>
  <c r="P7" i="21"/>
  <c r="F17" i="21"/>
  <c r="Q6" i="21"/>
  <c r="P6" i="21"/>
  <c r="E17" i="21"/>
  <c r="Q5" i="21"/>
  <c r="P5" i="21"/>
  <c r="D17" i="21"/>
  <c r="Q4" i="21"/>
  <c r="P4" i="21"/>
  <c r="C17" i="21"/>
  <c r="Q3" i="21"/>
  <c r="P3" i="21"/>
  <c r="B17" i="21"/>
  <c r="T2" i="21"/>
  <c r="P144" i="26"/>
  <c r="T9" i="26" s="1"/>
  <c r="Q142" i="26"/>
  <c r="P142" i="26"/>
  <c r="O143" i="26"/>
  <c r="Q141" i="26"/>
  <c r="P141" i="26"/>
  <c r="N143" i="26"/>
  <c r="Q140" i="26"/>
  <c r="P140" i="26"/>
  <c r="M143" i="26"/>
  <c r="Q139" i="26"/>
  <c r="P139" i="26"/>
  <c r="L143" i="26"/>
  <c r="Q138" i="26"/>
  <c r="P138" i="26"/>
  <c r="K143" i="26"/>
  <c r="Q137" i="26"/>
  <c r="P137" i="26"/>
  <c r="J143" i="26"/>
  <c r="Q136" i="26"/>
  <c r="P136" i="26"/>
  <c r="I143" i="26"/>
  <c r="Q135" i="26"/>
  <c r="P135" i="26"/>
  <c r="H143" i="26"/>
  <c r="Q134" i="26"/>
  <c r="P134" i="26"/>
  <c r="G143" i="26"/>
  <c r="Q133" i="26"/>
  <c r="P133" i="26"/>
  <c r="F143" i="26"/>
  <c r="Q132" i="26"/>
  <c r="P132" i="26"/>
  <c r="E143" i="26"/>
  <c r="Q131" i="26"/>
  <c r="P131" i="26"/>
  <c r="D143" i="26"/>
  <c r="Q130" i="26"/>
  <c r="P130" i="26"/>
  <c r="C143" i="26"/>
  <c r="Q129" i="26"/>
  <c r="P129" i="26"/>
  <c r="B143" i="26"/>
  <c r="P126" i="26"/>
  <c r="Q124" i="26"/>
  <c r="P124" i="26"/>
  <c r="O125" i="26"/>
  <c r="Q123" i="26"/>
  <c r="P123" i="26"/>
  <c r="N125" i="26"/>
  <c r="Q122" i="26"/>
  <c r="P122" i="26"/>
  <c r="M125" i="26"/>
  <c r="Q121" i="26"/>
  <c r="P121" i="26"/>
  <c r="L125" i="26"/>
  <c r="Q120" i="26"/>
  <c r="P120" i="26"/>
  <c r="K125" i="26"/>
  <c r="Q119" i="26"/>
  <c r="P119" i="26"/>
  <c r="J125" i="26"/>
  <c r="Q118" i="26"/>
  <c r="P118" i="26"/>
  <c r="I125" i="26"/>
  <c r="Q117" i="26"/>
  <c r="P117" i="26"/>
  <c r="H125" i="26"/>
  <c r="Q116" i="26"/>
  <c r="P116" i="26"/>
  <c r="G125" i="26"/>
  <c r="Q115" i="26"/>
  <c r="P115" i="26"/>
  <c r="F125" i="26"/>
  <c r="Q114" i="26"/>
  <c r="P114" i="26"/>
  <c r="E125" i="26"/>
  <c r="Q113" i="26"/>
  <c r="P113" i="26"/>
  <c r="D125" i="26"/>
  <c r="Q112" i="26"/>
  <c r="P112" i="26"/>
  <c r="C125" i="26"/>
  <c r="Q111" i="26"/>
  <c r="P111" i="26"/>
  <c r="B125" i="26"/>
  <c r="T8" i="26"/>
  <c r="P108" i="26"/>
  <c r="T7" i="26" s="1"/>
  <c r="Q106" i="26"/>
  <c r="P106" i="26"/>
  <c r="O107" i="26"/>
  <c r="Q105" i="26"/>
  <c r="P105" i="26"/>
  <c r="N107" i="26"/>
  <c r="Q104" i="26"/>
  <c r="P104" i="26"/>
  <c r="M107" i="26"/>
  <c r="Q103" i="26"/>
  <c r="P103" i="26"/>
  <c r="L107" i="26"/>
  <c r="Q102" i="26"/>
  <c r="P102" i="26"/>
  <c r="K107" i="26"/>
  <c r="Q101" i="26"/>
  <c r="P101" i="26"/>
  <c r="J107" i="26"/>
  <c r="Q100" i="26"/>
  <c r="P100" i="26"/>
  <c r="I107" i="26"/>
  <c r="Q99" i="26"/>
  <c r="P99" i="26"/>
  <c r="H107" i="26"/>
  <c r="Q98" i="26"/>
  <c r="P98" i="26"/>
  <c r="G107" i="26"/>
  <c r="Q97" i="26"/>
  <c r="P97" i="26"/>
  <c r="F107" i="26"/>
  <c r="Q96" i="26"/>
  <c r="P96" i="26"/>
  <c r="E107" i="26"/>
  <c r="Q95" i="26"/>
  <c r="P95" i="26"/>
  <c r="D107" i="26"/>
  <c r="Q94" i="26"/>
  <c r="P94" i="26"/>
  <c r="C107" i="26"/>
  <c r="Q93" i="26"/>
  <c r="P93" i="26"/>
  <c r="B107" i="26"/>
  <c r="P90" i="26"/>
  <c r="T6" i="26" s="1"/>
  <c r="Q88" i="26"/>
  <c r="P88" i="26"/>
  <c r="O89" i="26"/>
  <c r="Q87" i="26"/>
  <c r="P87" i="26"/>
  <c r="N89" i="26"/>
  <c r="Q86" i="26"/>
  <c r="P86" i="26"/>
  <c r="M89" i="26"/>
  <c r="Q85" i="26"/>
  <c r="P85" i="26"/>
  <c r="L89" i="26"/>
  <c r="Q84" i="26"/>
  <c r="P84" i="26"/>
  <c r="K89" i="26"/>
  <c r="Q83" i="26"/>
  <c r="P83" i="26"/>
  <c r="J89" i="26"/>
  <c r="Q82" i="26"/>
  <c r="P82" i="26"/>
  <c r="I89" i="26"/>
  <c r="Q81" i="26"/>
  <c r="P81" i="26"/>
  <c r="H89" i="26"/>
  <c r="Q80" i="26"/>
  <c r="P80" i="26"/>
  <c r="G89" i="26"/>
  <c r="Q79" i="26"/>
  <c r="P79" i="26"/>
  <c r="F89" i="26"/>
  <c r="Q78" i="26"/>
  <c r="P78" i="26"/>
  <c r="E89" i="26"/>
  <c r="Q77" i="26"/>
  <c r="P77" i="26"/>
  <c r="D89" i="26"/>
  <c r="Q76" i="26"/>
  <c r="P76" i="26"/>
  <c r="C89" i="26"/>
  <c r="Q75" i="26"/>
  <c r="P75" i="26"/>
  <c r="B89" i="26"/>
  <c r="P72" i="26"/>
  <c r="T5" i="26" s="1"/>
  <c r="Q70" i="26"/>
  <c r="P70" i="26"/>
  <c r="O71" i="26"/>
  <c r="Q69" i="26"/>
  <c r="P69" i="26"/>
  <c r="N71" i="26"/>
  <c r="Q68" i="26"/>
  <c r="P68" i="26"/>
  <c r="M71" i="26"/>
  <c r="Q67" i="26"/>
  <c r="P67" i="26"/>
  <c r="L71" i="26"/>
  <c r="Q66" i="26"/>
  <c r="P66" i="26"/>
  <c r="K71" i="26"/>
  <c r="Q65" i="26"/>
  <c r="P65" i="26"/>
  <c r="J71" i="26"/>
  <c r="Q64" i="26"/>
  <c r="P64" i="26"/>
  <c r="I71" i="26"/>
  <c r="Q63" i="26"/>
  <c r="P63" i="26"/>
  <c r="H71" i="26"/>
  <c r="Q62" i="26"/>
  <c r="P62" i="26"/>
  <c r="G71" i="26"/>
  <c r="Q61" i="26"/>
  <c r="P61" i="26"/>
  <c r="F71" i="26"/>
  <c r="Q60" i="26"/>
  <c r="P60" i="26"/>
  <c r="E71" i="26"/>
  <c r="Q59" i="26"/>
  <c r="P59" i="26"/>
  <c r="D71" i="26"/>
  <c r="Q58" i="26"/>
  <c r="P58" i="26"/>
  <c r="C71" i="26"/>
  <c r="Q57" i="26"/>
  <c r="P57" i="26"/>
  <c r="B71" i="26"/>
  <c r="P54" i="26"/>
  <c r="T4" i="26" s="1"/>
  <c r="Q52" i="26"/>
  <c r="P52" i="26"/>
  <c r="O53" i="26"/>
  <c r="Q51" i="26"/>
  <c r="P51" i="26"/>
  <c r="N53" i="26"/>
  <c r="Q50" i="26"/>
  <c r="P50" i="26"/>
  <c r="M53" i="26"/>
  <c r="Q49" i="26"/>
  <c r="P49" i="26"/>
  <c r="L53" i="26"/>
  <c r="Q48" i="26"/>
  <c r="P48" i="26"/>
  <c r="K53" i="26"/>
  <c r="Q47" i="26"/>
  <c r="P47" i="26"/>
  <c r="J53" i="26"/>
  <c r="Q46" i="26"/>
  <c r="P46" i="26"/>
  <c r="I53" i="26"/>
  <c r="Q45" i="26"/>
  <c r="P45" i="26"/>
  <c r="H53" i="26"/>
  <c r="Q44" i="26"/>
  <c r="P44" i="26"/>
  <c r="G53" i="26"/>
  <c r="Q43" i="26"/>
  <c r="P43" i="26"/>
  <c r="F53" i="26"/>
  <c r="Q42" i="26"/>
  <c r="P42" i="26"/>
  <c r="E53" i="26"/>
  <c r="Q41" i="26"/>
  <c r="P41" i="26"/>
  <c r="D53" i="26"/>
  <c r="Q40" i="26"/>
  <c r="P40" i="26"/>
  <c r="C53" i="26"/>
  <c r="Q39" i="26"/>
  <c r="P39" i="26"/>
  <c r="B53" i="26"/>
  <c r="P36" i="26"/>
  <c r="T3" i="26" s="1"/>
  <c r="Q34" i="26"/>
  <c r="P34" i="26"/>
  <c r="O35" i="26"/>
  <c r="Q33" i="26"/>
  <c r="P33" i="26"/>
  <c r="N35" i="26"/>
  <c r="Q32" i="26"/>
  <c r="P32" i="26"/>
  <c r="M35" i="26"/>
  <c r="Q31" i="26"/>
  <c r="P31" i="26"/>
  <c r="L35" i="26"/>
  <c r="Q30" i="26"/>
  <c r="P30" i="26"/>
  <c r="K35" i="26"/>
  <c r="Q29" i="26"/>
  <c r="P29" i="26"/>
  <c r="J35" i="26"/>
  <c r="Q28" i="26"/>
  <c r="P28" i="26"/>
  <c r="I35" i="26"/>
  <c r="Q27" i="26"/>
  <c r="P27" i="26"/>
  <c r="H35" i="26"/>
  <c r="Q26" i="26"/>
  <c r="P26" i="26"/>
  <c r="G35" i="26"/>
  <c r="Q25" i="26"/>
  <c r="P25" i="26"/>
  <c r="F35" i="26"/>
  <c r="Q24" i="26"/>
  <c r="P24" i="26"/>
  <c r="E35" i="26"/>
  <c r="Q23" i="26"/>
  <c r="P23" i="26"/>
  <c r="D35" i="26"/>
  <c r="Q22" i="26"/>
  <c r="P22" i="26"/>
  <c r="C35" i="26"/>
  <c r="Q21" i="26"/>
  <c r="P21" i="26"/>
  <c r="B35" i="26"/>
  <c r="P18" i="26"/>
  <c r="T2" i="26" s="1"/>
  <c r="Q16" i="26"/>
  <c r="P16" i="26"/>
  <c r="O17" i="26"/>
  <c r="Q15" i="26"/>
  <c r="P15" i="26"/>
  <c r="N17" i="26"/>
  <c r="Q14" i="26"/>
  <c r="P14" i="26"/>
  <c r="M17" i="26"/>
  <c r="Q13" i="26"/>
  <c r="P13" i="26"/>
  <c r="L17" i="26"/>
  <c r="Q12" i="26"/>
  <c r="P12" i="26"/>
  <c r="K17" i="26"/>
  <c r="Q11" i="26"/>
  <c r="P11" i="26"/>
  <c r="J17" i="26"/>
  <c r="Q10" i="26"/>
  <c r="P10" i="26"/>
  <c r="I17" i="26"/>
  <c r="Q9" i="26"/>
  <c r="P9" i="26"/>
  <c r="H17" i="26"/>
  <c r="Q8" i="26"/>
  <c r="P8" i="26"/>
  <c r="G17" i="26"/>
  <c r="Q7" i="26"/>
  <c r="P7" i="26"/>
  <c r="F17" i="26"/>
  <c r="Q6" i="26"/>
  <c r="P6" i="26"/>
  <c r="E17" i="26"/>
  <c r="Q5" i="26"/>
  <c r="P5" i="26"/>
  <c r="D17" i="26"/>
  <c r="Q4" i="26"/>
  <c r="P4" i="26"/>
  <c r="C17" i="26"/>
  <c r="Q3" i="26"/>
  <c r="P3" i="26"/>
  <c r="B17" i="26"/>
  <c r="P144" i="3"/>
  <c r="T9" i="3" s="1"/>
  <c r="Q142" i="3"/>
  <c r="P142" i="3"/>
  <c r="O143" i="3"/>
  <c r="Q141" i="3"/>
  <c r="P141" i="3"/>
  <c r="N143" i="3"/>
  <c r="Q140" i="3"/>
  <c r="P140" i="3"/>
  <c r="M143" i="3"/>
  <c r="Q139" i="3"/>
  <c r="P139" i="3"/>
  <c r="L143" i="3"/>
  <c r="Q138" i="3"/>
  <c r="P138" i="3"/>
  <c r="K143" i="3"/>
  <c r="Q137" i="3"/>
  <c r="P137" i="3"/>
  <c r="J143" i="3"/>
  <c r="Q136" i="3"/>
  <c r="P136" i="3"/>
  <c r="I143" i="3"/>
  <c r="Q135" i="3"/>
  <c r="P135" i="3"/>
  <c r="H143" i="3"/>
  <c r="Q134" i="3"/>
  <c r="P134" i="3"/>
  <c r="G143" i="3"/>
  <c r="Q133" i="3"/>
  <c r="P133" i="3"/>
  <c r="F143" i="3"/>
  <c r="Q132" i="3"/>
  <c r="P132" i="3"/>
  <c r="E143" i="3"/>
  <c r="Q131" i="3"/>
  <c r="P131" i="3"/>
  <c r="D143" i="3"/>
  <c r="Q130" i="3"/>
  <c r="P130" i="3"/>
  <c r="C143" i="3"/>
  <c r="Q129" i="3"/>
  <c r="P129" i="3"/>
  <c r="B143" i="3"/>
  <c r="P126" i="3"/>
  <c r="T8" i="3" s="1"/>
  <c r="Q124" i="3"/>
  <c r="P124" i="3"/>
  <c r="O125" i="3"/>
  <c r="Q123" i="3"/>
  <c r="P123" i="3"/>
  <c r="N125" i="3"/>
  <c r="Q122" i="3"/>
  <c r="P122" i="3"/>
  <c r="M125" i="3"/>
  <c r="Q121" i="3"/>
  <c r="P121" i="3"/>
  <c r="L125" i="3"/>
  <c r="Q120" i="3"/>
  <c r="P120" i="3"/>
  <c r="K125" i="3"/>
  <c r="Q119" i="3"/>
  <c r="P119" i="3"/>
  <c r="J125" i="3"/>
  <c r="Q118" i="3"/>
  <c r="P118" i="3"/>
  <c r="I125" i="3"/>
  <c r="Q117" i="3"/>
  <c r="P117" i="3"/>
  <c r="H125" i="3"/>
  <c r="Q116" i="3"/>
  <c r="P116" i="3"/>
  <c r="G125" i="3"/>
  <c r="Q115" i="3"/>
  <c r="P115" i="3"/>
  <c r="F125" i="3"/>
  <c r="Q114" i="3"/>
  <c r="P114" i="3"/>
  <c r="E125" i="3"/>
  <c r="Q113" i="3"/>
  <c r="P113" i="3"/>
  <c r="D125" i="3"/>
  <c r="Q112" i="3"/>
  <c r="P112" i="3"/>
  <c r="C125" i="3"/>
  <c r="Q111" i="3"/>
  <c r="P111" i="3"/>
  <c r="B125" i="3"/>
  <c r="P108" i="3"/>
  <c r="T7" i="3" s="1"/>
  <c r="Q106" i="3"/>
  <c r="P106" i="3"/>
  <c r="O107" i="3"/>
  <c r="Q105" i="3"/>
  <c r="P105" i="3"/>
  <c r="N107" i="3"/>
  <c r="Q104" i="3"/>
  <c r="P104" i="3"/>
  <c r="M107" i="3"/>
  <c r="Q103" i="3"/>
  <c r="P103" i="3"/>
  <c r="L107" i="3"/>
  <c r="Q102" i="3"/>
  <c r="P102" i="3"/>
  <c r="K107" i="3"/>
  <c r="Q101" i="3"/>
  <c r="P101" i="3"/>
  <c r="J107" i="3"/>
  <c r="Q100" i="3"/>
  <c r="P100" i="3"/>
  <c r="I107" i="3"/>
  <c r="Q99" i="3"/>
  <c r="P99" i="3"/>
  <c r="H107" i="3"/>
  <c r="Q98" i="3"/>
  <c r="P98" i="3"/>
  <c r="G107" i="3"/>
  <c r="Q97" i="3"/>
  <c r="P97" i="3"/>
  <c r="F107" i="3"/>
  <c r="Q96" i="3"/>
  <c r="P96" i="3"/>
  <c r="E107" i="3"/>
  <c r="Q95" i="3"/>
  <c r="P95" i="3"/>
  <c r="D107" i="3"/>
  <c r="Q94" i="3"/>
  <c r="P94" i="3"/>
  <c r="C107" i="3"/>
  <c r="Q93" i="3"/>
  <c r="P93" i="3"/>
  <c r="B107" i="3"/>
  <c r="P90" i="3"/>
  <c r="T6" i="3" s="1"/>
  <c r="Q88" i="3"/>
  <c r="P88" i="3"/>
  <c r="O89" i="3"/>
  <c r="Q87" i="3"/>
  <c r="P87" i="3"/>
  <c r="N89" i="3"/>
  <c r="Q86" i="3"/>
  <c r="P86" i="3"/>
  <c r="M89" i="3"/>
  <c r="Q85" i="3"/>
  <c r="P85" i="3"/>
  <c r="L89" i="3"/>
  <c r="Q84" i="3"/>
  <c r="P84" i="3"/>
  <c r="K89" i="3"/>
  <c r="Q83" i="3"/>
  <c r="P83" i="3"/>
  <c r="J89" i="3"/>
  <c r="Q82" i="3"/>
  <c r="P82" i="3"/>
  <c r="I89" i="3"/>
  <c r="Q81" i="3"/>
  <c r="P81" i="3"/>
  <c r="H89" i="3"/>
  <c r="Q80" i="3"/>
  <c r="P80" i="3"/>
  <c r="G89" i="3"/>
  <c r="Q79" i="3"/>
  <c r="P79" i="3"/>
  <c r="F89" i="3"/>
  <c r="Q78" i="3"/>
  <c r="P78" i="3"/>
  <c r="E89" i="3"/>
  <c r="Q77" i="3"/>
  <c r="P77" i="3"/>
  <c r="D89" i="3"/>
  <c r="Q76" i="3"/>
  <c r="P76" i="3"/>
  <c r="C89" i="3"/>
  <c r="Q75" i="3"/>
  <c r="P75" i="3"/>
  <c r="B89" i="3"/>
  <c r="P72" i="3"/>
  <c r="T5" i="3" s="1"/>
  <c r="Q70" i="3"/>
  <c r="P70" i="3"/>
  <c r="O71" i="3"/>
  <c r="Q69" i="3"/>
  <c r="P69" i="3"/>
  <c r="N71" i="3"/>
  <c r="Q68" i="3"/>
  <c r="P68" i="3"/>
  <c r="M71" i="3"/>
  <c r="Q67" i="3"/>
  <c r="P67" i="3"/>
  <c r="L71" i="3"/>
  <c r="Q66" i="3"/>
  <c r="P66" i="3"/>
  <c r="K71" i="3"/>
  <c r="Q65" i="3"/>
  <c r="P65" i="3"/>
  <c r="J71" i="3"/>
  <c r="Q64" i="3"/>
  <c r="P64" i="3"/>
  <c r="I71" i="3"/>
  <c r="Q63" i="3"/>
  <c r="P63" i="3"/>
  <c r="H71" i="3"/>
  <c r="Q62" i="3"/>
  <c r="P62" i="3"/>
  <c r="G71" i="3"/>
  <c r="Q61" i="3"/>
  <c r="P61" i="3"/>
  <c r="F71" i="3"/>
  <c r="Q60" i="3"/>
  <c r="P60" i="3"/>
  <c r="E71" i="3"/>
  <c r="Q59" i="3"/>
  <c r="P59" i="3"/>
  <c r="D71" i="3"/>
  <c r="Q58" i="3"/>
  <c r="P58" i="3"/>
  <c r="C71" i="3"/>
  <c r="Q57" i="3"/>
  <c r="P57" i="3"/>
  <c r="B71" i="3"/>
  <c r="P54" i="3"/>
  <c r="T4" i="3" s="1"/>
  <c r="Q52" i="3"/>
  <c r="P52" i="3"/>
  <c r="O53" i="3"/>
  <c r="Q51" i="3"/>
  <c r="P51" i="3"/>
  <c r="N53" i="3"/>
  <c r="Q50" i="3"/>
  <c r="P50" i="3"/>
  <c r="M53" i="3"/>
  <c r="Q49" i="3"/>
  <c r="P49" i="3"/>
  <c r="L53" i="3"/>
  <c r="Q48" i="3"/>
  <c r="P48" i="3"/>
  <c r="K53" i="3"/>
  <c r="Q47" i="3"/>
  <c r="P47" i="3"/>
  <c r="J53" i="3"/>
  <c r="Q46" i="3"/>
  <c r="P46" i="3"/>
  <c r="I53" i="3"/>
  <c r="Q45" i="3"/>
  <c r="P45" i="3"/>
  <c r="H53" i="3"/>
  <c r="Q44" i="3"/>
  <c r="P44" i="3"/>
  <c r="G53" i="3"/>
  <c r="Q43" i="3"/>
  <c r="P43" i="3"/>
  <c r="F53" i="3"/>
  <c r="Q42" i="3"/>
  <c r="P42" i="3"/>
  <c r="E53" i="3"/>
  <c r="Q41" i="3"/>
  <c r="P41" i="3"/>
  <c r="D53" i="3"/>
  <c r="Q40" i="3"/>
  <c r="P40" i="3"/>
  <c r="C53" i="3"/>
  <c r="Q39" i="3"/>
  <c r="P39" i="3"/>
  <c r="B53" i="3"/>
  <c r="P36" i="3"/>
  <c r="T3" i="3" s="1"/>
  <c r="Q34" i="3"/>
  <c r="P34" i="3"/>
  <c r="O35" i="3"/>
  <c r="Q33" i="3"/>
  <c r="P33" i="3"/>
  <c r="N35" i="3"/>
  <c r="Q32" i="3"/>
  <c r="P32" i="3"/>
  <c r="M35" i="3"/>
  <c r="Q31" i="3"/>
  <c r="P31" i="3"/>
  <c r="L35" i="3"/>
  <c r="Q30" i="3"/>
  <c r="P30" i="3"/>
  <c r="K35" i="3"/>
  <c r="Q29" i="3"/>
  <c r="P29" i="3"/>
  <c r="J35" i="3"/>
  <c r="Q28" i="3"/>
  <c r="P28" i="3"/>
  <c r="I35" i="3"/>
  <c r="Q27" i="3"/>
  <c r="P27" i="3"/>
  <c r="H35" i="3"/>
  <c r="Q26" i="3"/>
  <c r="P26" i="3"/>
  <c r="G35" i="3"/>
  <c r="Q25" i="3"/>
  <c r="P25" i="3"/>
  <c r="F35" i="3"/>
  <c r="Q24" i="3"/>
  <c r="P24" i="3"/>
  <c r="E35" i="3"/>
  <c r="Q23" i="3"/>
  <c r="P23" i="3"/>
  <c r="D35" i="3"/>
  <c r="Q22" i="3"/>
  <c r="P22" i="3"/>
  <c r="C35" i="3"/>
  <c r="Q21" i="3"/>
  <c r="P21" i="3"/>
  <c r="B35" i="3"/>
  <c r="P18" i="3"/>
  <c r="T2" i="3" s="1"/>
  <c r="Q16" i="3"/>
  <c r="P16" i="3"/>
  <c r="O17" i="3"/>
  <c r="Q15" i="3"/>
  <c r="P15" i="3"/>
  <c r="N17" i="3"/>
  <c r="Q14" i="3"/>
  <c r="P14" i="3"/>
  <c r="M17" i="3"/>
  <c r="Q13" i="3"/>
  <c r="P13" i="3"/>
  <c r="L17" i="3"/>
  <c r="Q12" i="3"/>
  <c r="P12" i="3"/>
  <c r="K17" i="3"/>
  <c r="Q11" i="3"/>
  <c r="P11" i="3"/>
  <c r="J17" i="3"/>
  <c r="Q10" i="3"/>
  <c r="P10" i="3"/>
  <c r="I17" i="3"/>
  <c r="Q9" i="3"/>
  <c r="P9" i="3"/>
  <c r="H17" i="3"/>
  <c r="Q8" i="3"/>
  <c r="P8" i="3"/>
  <c r="G17" i="3"/>
  <c r="Q7" i="3"/>
  <c r="P7" i="3"/>
  <c r="F17" i="3"/>
  <c r="Q6" i="3"/>
  <c r="P6" i="3"/>
  <c r="E17" i="3"/>
  <c r="Q5" i="3"/>
  <c r="P5" i="3"/>
  <c r="D17" i="3"/>
  <c r="Q4" i="3"/>
  <c r="P4" i="3"/>
  <c r="C17" i="3"/>
  <c r="Q3" i="3"/>
  <c r="P3" i="3"/>
  <c r="B17" i="3"/>
  <c r="P144" i="2"/>
  <c r="T9" i="2" s="1"/>
  <c r="Q142" i="2"/>
  <c r="P142" i="2"/>
  <c r="O143" i="2"/>
  <c r="Q141" i="2"/>
  <c r="P141" i="2"/>
  <c r="N143" i="2"/>
  <c r="Q140" i="2"/>
  <c r="P140" i="2"/>
  <c r="M143" i="2"/>
  <c r="Q139" i="2"/>
  <c r="P139" i="2"/>
  <c r="L143" i="2"/>
  <c r="Q138" i="2"/>
  <c r="P138" i="2"/>
  <c r="K143" i="2"/>
  <c r="Q137" i="2"/>
  <c r="P137" i="2"/>
  <c r="J143" i="2"/>
  <c r="Q136" i="2"/>
  <c r="P136" i="2"/>
  <c r="I143" i="2"/>
  <c r="Q135" i="2"/>
  <c r="P135" i="2"/>
  <c r="H143" i="2"/>
  <c r="Q134" i="2"/>
  <c r="P134" i="2"/>
  <c r="G143" i="2"/>
  <c r="Q133" i="2"/>
  <c r="P133" i="2"/>
  <c r="F143" i="2"/>
  <c r="Q132" i="2"/>
  <c r="P132" i="2"/>
  <c r="E143" i="2"/>
  <c r="Q131" i="2"/>
  <c r="P131" i="2"/>
  <c r="D143" i="2"/>
  <c r="Q130" i="2"/>
  <c r="P130" i="2"/>
  <c r="C143" i="2"/>
  <c r="Q129" i="2"/>
  <c r="P129" i="2"/>
  <c r="B143" i="2"/>
  <c r="P126" i="2"/>
  <c r="Q124" i="2"/>
  <c r="P124" i="2"/>
  <c r="O125" i="2"/>
  <c r="Q123" i="2"/>
  <c r="P123" i="2"/>
  <c r="N125" i="2"/>
  <c r="Q122" i="2"/>
  <c r="P122" i="2"/>
  <c r="M125" i="2"/>
  <c r="Q121" i="2"/>
  <c r="P121" i="2"/>
  <c r="L125" i="2"/>
  <c r="Q120" i="2"/>
  <c r="P120" i="2"/>
  <c r="K125" i="2"/>
  <c r="Q119" i="2"/>
  <c r="P119" i="2"/>
  <c r="J125" i="2"/>
  <c r="Q118" i="2"/>
  <c r="P118" i="2"/>
  <c r="I125" i="2"/>
  <c r="Q117" i="2"/>
  <c r="P117" i="2"/>
  <c r="H125" i="2"/>
  <c r="Q116" i="2"/>
  <c r="P116" i="2"/>
  <c r="G125" i="2"/>
  <c r="Q115" i="2"/>
  <c r="P115" i="2"/>
  <c r="F125" i="2"/>
  <c r="Q114" i="2"/>
  <c r="P114" i="2"/>
  <c r="E125" i="2"/>
  <c r="Q113" i="2"/>
  <c r="P113" i="2"/>
  <c r="D125" i="2"/>
  <c r="Q112" i="2"/>
  <c r="P112" i="2"/>
  <c r="C125" i="2"/>
  <c r="Q111" i="2"/>
  <c r="P111" i="2"/>
  <c r="B125" i="2"/>
  <c r="T8" i="2"/>
  <c r="P108" i="2"/>
  <c r="T7" i="2" s="1"/>
  <c r="Q106" i="2"/>
  <c r="P106" i="2"/>
  <c r="O107" i="2"/>
  <c r="Q105" i="2"/>
  <c r="P105" i="2"/>
  <c r="N107" i="2"/>
  <c r="Q104" i="2"/>
  <c r="P104" i="2"/>
  <c r="M107" i="2"/>
  <c r="Q103" i="2"/>
  <c r="P103" i="2"/>
  <c r="L107" i="2"/>
  <c r="Q102" i="2"/>
  <c r="P102" i="2"/>
  <c r="K107" i="2"/>
  <c r="Q101" i="2"/>
  <c r="P101" i="2"/>
  <c r="J107" i="2"/>
  <c r="Q100" i="2"/>
  <c r="P100" i="2"/>
  <c r="I107" i="2"/>
  <c r="Q99" i="2"/>
  <c r="P99" i="2"/>
  <c r="H107" i="2"/>
  <c r="Q98" i="2"/>
  <c r="P98" i="2"/>
  <c r="G107" i="2"/>
  <c r="Q97" i="2"/>
  <c r="P97" i="2"/>
  <c r="F107" i="2"/>
  <c r="Q96" i="2"/>
  <c r="P96" i="2"/>
  <c r="E107" i="2"/>
  <c r="Q95" i="2"/>
  <c r="P95" i="2"/>
  <c r="D107" i="2"/>
  <c r="Q94" i="2"/>
  <c r="P94" i="2"/>
  <c r="C107" i="2"/>
  <c r="Q93" i="2"/>
  <c r="P93" i="2"/>
  <c r="B107" i="2"/>
  <c r="P90" i="2"/>
  <c r="T6" i="2" s="1"/>
  <c r="Q88" i="2"/>
  <c r="P88" i="2"/>
  <c r="O89" i="2"/>
  <c r="Q87" i="2"/>
  <c r="P87" i="2"/>
  <c r="N89" i="2"/>
  <c r="Q86" i="2"/>
  <c r="P86" i="2"/>
  <c r="M89" i="2"/>
  <c r="Q85" i="2"/>
  <c r="P85" i="2"/>
  <c r="L89" i="2"/>
  <c r="Q84" i="2"/>
  <c r="P84" i="2"/>
  <c r="K89" i="2"/>
  <c r="Q83" i="2"/>
  <c r="P83" i="2"/>
  <c r="J89" i="2"/>
  <c r="Q82" i="2"/>
  <c r="P82" i="2"/>
  <c r="I89" i="2"/>
  <c r="Q81" i="2"/>
  <c r="P81" i="2"/>
  <c r="H89" i="2"/>
  <c r="Q80" i="2"/>
  <c r="P80" i="2"/>
  <c r="G89" i="2"/>
  <c r="Q79" i="2"/>
  <c r="P79" i="2"/>
  <c r="F89" i="2"/>
  <c r="Q78" i="2"/>
  <c r="P78" i="2"/>
  <c r="E89" i="2"/>
  <c r="Q77" i="2"/>
  <c r="P77" i="2"/>
  <c r="D89" i="2"/>
  <c r="Q76" i="2"/>
  <c r="P76" i="2"/>
  <c r="C89" i="2"/>
  <c r="Q75" i="2"/>
  <c r="P75" i="2"/>
  <c r="B89" i="2"/>
  <c r="P72" i="2"/>
  <c r="T5" i="2" s="1"/>
  <c r="Q70" i="2"/>
  <c r="P70" i="2"/>
  <c r="O71" i="2"/>
  <c r="Q69" i="2"/>
  <c r="P69" i="2"/>
  <c r="N71" i="2"/>
  <c r="Q68" i="2"/>
  <c r="P68" i="2"/>
  <c r="M71" i="2"/>
  <c r="Q67" i="2"/>
  <c r="P67" i="2"/>
  <c r="L71" i="2"/>
  <c r="Q66" i="2"/>
  <c r="P66" i="2"/>
  <c r="K71" i="2"/>
  <c r="Q65" i="2"/>
  <c r="P65" i="2"/>
  <c r="J71" i="2"/>
  <c r="Q64" i="2"/>
  <c r="P64" i="2"/>
  <c r="I71" i="2"/>
  <c r="Q63" i="2"/>
  <c r="P63" i="2"/>
  <c r="H71" i="2"/>
  <c r="Q62" i="2"/>
  <c r="P62" i="2"/>
  <c r="G71" i="2"/>
  <c r="Q61" i="2"/>
  <c r="P61" i="2"/>
  <c r="F71" i="2"/>
  <c r="Q60" i="2"/>
  <c r="P60" i="2"/>
  <c r="E71" i="2"/>
  <c r="Q59" i="2"/>
  <c r="P59" i="2"/>
  <c r="D71" i="2"/>
  <c r="Q58" i="2"/>
  <c r="P58" i="2"/>
  <c r="C71" i="2"/>
  <c r="Q57" i="2"/>
  <c r="P57" i="2"/>
  <c r="B71" i="2"/>
  <c r="P54" i="2"/>
  <c r="T4" i="2" s="1"/>
  <c r="Q52" i="2"/>
  <c r="P52" i="2"/>
  <c r="O53" i="2"/>
  <c r="Q51" i="2"/>
  <c r="P51" i="2"/>
  <c r="N53" i="2"/>
  <c r="Q50" i="2"/>
  <c r="P50" i="2"/>
  <c r="M53" i="2"/>
  <c r="Q49" i="2"/>
  <c r="P49" i="2"/>
  <c r="L53" i="2"/>
  <c r="Q48" i="2"/>
  <c r="P48" i="2"/>
  <c r="K53" i="2"/>
  <c r="Q47" i="2"/>
  <c r="P47" i="2"/>
  <c r="J53" i="2"/>
  <c r="Q46" i="2"/>
  <c r="P46" i="2"/>
  <c r="I53" i="2"/>
  <c r="Q45" i="2"/>
  <c r="P45" i="2"/>
  <c r="H53" i="2"/>
  <c r="Q44" i="2"/>
  <c r="P44" i="2"/>
  <c r="G53" i="2"/>
  <c r="Q43" i="2"/>
  <c r="P43" i="2"/>
  <c r="F53" i="2"/>
  <c r="Q42" i="2"/>
  <c r="P42" i="2"/>
  <c r="E53" i="2"/>
  <c r="Q41" i="2"/>
  <c r="P41" i="2"/>
  <c r="D53" i="2"/>
  <c r="Q40" i="2"/>
  <c r="P40" i="2"/>
  <c r="C53" i="2"/>
  <c r="Q39" i="2"/>
  <c r="P39" i="2"/>
  <c r="B53" i="2"/>
  <c r="P36" i="2"/>
  <c r="T3" i="2" s="1"/>
  <c r="Q34" i="2"/>
  <c r="P34" i="2"/>
  <c r="O35" i="2"/>
  <c r="Q33" i="2"/>
  <c r="P33" i="2"/>
  <c r="N35" i="2"/>
  <c r="Q32" i="2"/>
  <c r="P32" i="2"/>
  <c r="M35" i="2"/>
  <c r="Q31" i="2"/>
  <c r="P31" i="2"/>
  <c r="L35" i="2"/>
  <c r="Q30" i="2"/>
  <c r="P30" i="2"/>
  <c r="K35" i="2"/>
  <c r="Q29" i="2"/>
  <c r="P29" i="2"/>
  <c r="J35" i="2"/>
  <c r="Q28" i="2"/>
  <c r="P28" i="2"/>
  <c r="I35" i="2"/>
  <c r="Q27" i="2"/>
  <c r="P27" i="2"/>
  <c r="H35" i="2"/>
  <c r="Q26" i="2"/>
  <c r="P26" i="2"/>
  <c r="G35" i="2"/>
  <c r="Q25" i="2"/>
  <c r="P25" i="2"/>
  <c r="F35" i="2"/>
  <c r="Q24" i="2"/>
  <c r="P24" i="2"/>
  <c r="E35" i="2"/>
  <c r="Q23" i="2"/>
  <c r="P23" i="2"/>
  <c r="D35" i="2"/>
  <c r="Q22" i="2"/>
  <c r="P22" i="2"/>
  <c r="C35" i="2"/>
  <c r="Q21" i="2"/>
  <c r="P21" i="2"/>
  <c r="B35" i="2"/>
  <c r="P18" i="2"/>
  <c r="T2" i="2" s="1"/>
  <c r="Q16" i="2"/>
  <c r="P16" i="2"/>
  <c r="O17" i="2"/>
  <c r="Q15" i="2"/>
  <c r="P15" i="2"/>
  <c r="N17" i="2"/>
  <c r="Q14" i="2"/>
  <c r="P14" i="2"/>
  <c r="M17" i="2"/>
  <c r="Q13" i="2"/>
  <c r="P13" i="2"/>
  <c r="L17" i="2"/>
  <c r="Q12" i="2"/>
  <c r="P12" i="2"/>
  <c r="K17" i="2"/>
  <c r="Q11" i="2"/>
  <c r="P11" i="2"/>
  <c r="J17" i="2"/>
  <c r="Q10" i="2"/>
  <c r="P10" i="2"/>
  <c r="I17" i="2"/>
  <c r="Q9" i="2"/>
  <c r="P9" i="2"/>
  <c r="H17" i="2"/>
  <c r="Q8" i="2"/>
  <c r="P8" i="2"/>
  <c r="G17" i="2"/>
  <c r="Q7" i="2"/>
  <c r="P7" i="2"/>
  <c r="F17" i="2"/>
  <c r="Q6" i="2"/>
  <c r="P6" i="2"/>
  <c r="E17" i="2"/>
  <c r="Q5" i="2"/>
  <c r="P5" i="2"/>
  <c r="D17" i="2"/>
  <c r="Q4" i="2"/>
  <c r="P4" i="2"/>
  <c r="C17" i="2"/>
  <c r="Q3" i="2"/>
  <c r="P3" i="2"/>
  <c r="B17" i="2"/>
  <c r="P144" i="1"/>
  <c r="Q142" i="1"/>
  <c r="P142" i="1"/>
  <c r="O143" i="1"/>
  <c r="Q141" i="1"/>
  <c r="P141" i="1"/>
  <c r="N143" i="1"/>
  <c r="Q140" i="1"/>
  <c r="P140" i="1"/>
  <c r="M143" i="1"/>
  <c r="Q139" i="1"/>
  <c r="P139" i="1"/>
  <c r="L143" i="1"/>
  <c r="Q138" i="1"/>
  <c r="P138" i="1"/>
  <c r="K143" i="1"/>
  <c r="Q137" i="1"/>
  <c r="P137" i="1"/>
  <c r="J143" i="1"/>
  <c r="Q136" i="1"/>
  <c r="P136" i="1"/>
  <c r="I143" i="1"/>
  <c r="Q135" i="1"/>
  <c r="P135" i="1"/>
  <c r="H143" i="1"/>
  <c r="Q134" i="1"/>
  <c r="P134" i="1"/>
  <c r="G143" i="1"/>
  <c r="Q133" i="1"/>
  <c r="P133" i="1"/>
  <c r="F143" i="1"/>
  <c r="Q132" i="1"/>
  <c r="P132" i="1"/>
  <c r="E143" i="1"/>
  <c r="Q131" i="1"/>
  <c r="P131" i="1"/>
  <c r="D143" i="1"/>
  <c r="Q130" i="1"/>
  <c r="P130" i="1"/>
  <c r="C143" i="1"/>
  <c r="Q129" i="1"/>
  <c r="P129" i="1"/>
  <c r="B143" i="1"/>
  <c r="T9" i="1"/>
  <c r="P126" i="1"/>
  <c r="T8" i="1" s="1"/>
  <c r="Q124" i="1"/>
  <c r="P124" i="1"/>
  <c r="O125" i="1"/>
  <c r="Q123" i="1"/>
  <c r="P123" i="1"/>
  <c r="N125" i="1"/>
  <c r="Q122" i="1"/>
  <c r="P122" i="1"/>
  <c r="M125" i="1"/>
  <c r="Q121" i="1"/>
  <c r="P121" i="1"/>
  <c r="L125" i="1"/>
  <c r="Q120" i="1"/>
  <c r="P120" i="1"/>
  <c r="K125" i="1"/>
  <c r="Q119" i="1"/>
  <c r="P119" i="1"/>
  <c r="J125" i="1"/>
  <c r="Q118" i="1"/>
  <c r="P118" i="1"/>
  <c r="I125" i="1"/>
  <c r="Q117" i="1"/>
  <c r="P117" i="1"/>
  <c r="H125" i="1"/>
  <c r="Q116" i="1"/>
  <c r="P116" i="1"/>
  <c r="G125" i="1"/>
  <c r="Q115" i="1"/>
  <c r="P115" i="1"/>
  <c r="F125" i="1"/>
  <c r="Q114" i="1"/>
  <c r="P114" i="1"/>
  <c r="E125" i="1"/>
  <c r="Q113" i="1"/>
  <c r="P113" i="1"/>
  <c r="D125" i="1"/>
  <c r="Q112" i="1"/>
  <c r="P112" i="1"/>
  <c r="C125" i="1"/>
  <c r="Q111" i="1"/>
  <c r="P111" i="1"/>
  <c r="B125" i="1"/>
  <c r="P108" i="1"/>
  <c r="Q106" i="1"/>
  <c r="P106" i="1"/>
  <c r="O107" i="1"/>
  <c r="Q105" i="1"/>
  <c r="P105" i="1"/>
  <c r="N107" i="1"/>
  <c r="Q104" i="1"/>
  <c r="P104" i="1"/>
  <c r="M107" i="1"/>
  <c r="Q103" i="1"/>
  <c r="P103" i="1"/>
  <c r="L107" i="1"/>
  <c r="Q102" i="1"/>
  <c r="P102" i="1"/>
  <c r="K107" i="1"/>
  <c r="Q101" i="1"/>
  <c r="P101" i="1"/>
  <c r="J107" i="1"/>
  <c r="Q100" i="1"/>
  <c r="P100" i="1"/>
  <c r="I107" i="1"/>
  <c r="Q99" i="1"/>
  <c r="P99" i="1"/>
  <c r="H107" i="1"/>
  <c r="Q98" i="1"/>
  <c r="P98" i="1"/>
  <c r="G107" i="1"/>
  <c r="Q97" i="1"/>
  <c r="P97" i="1"/>
  <c r="F107" i="1"/>
  <c r="Q96" i="1"/>
  <c r="P96" i="1"/>
  <c r="E107" i="1"/>
  <c r="Q95" i="1"/>
  <c r="P95" i="1"/>
  <c r="D107" i="1"/>
  <c r="Q94" i="1"/>
  <c r="P94" i="1"/>
  <c r="C107" i="1"/>
  <c r="Q93" i="1"/>
  <c r="P93" i="1"/>
  <c r="B107" i="1"/>
  <c r="T7" i="1"/>
  <c r="P90" i="1"/>
  <c r="T6" i="1" s="1"/>
  <c r="Q88" i="1"/>
  <c r="P88" i="1"/>
  <c r="O89" i="1"/>
  <c r="Q87" i="1"/>
  <c r="P87" i="1"/>
  <c r="N89" i="1"/>
  <c r="Q86" i="1"/>
  <c r="P86" i="1"/>
  <c r="M89" i="1"/>
  <c r="Q85" i="1"/>
  <c r="P85" i="1"/>
  <c r="L89" i="1"/>
  <c r="Q84" i="1"/>
  <c r="P84" i="1"/>
  <c r="K89" i="1"/>
  <c r="Q83" i="1"/>
  <c r="P83" i="1"/>
  <c r="J89" i="1"/>
  <c r="Q82" i="1"/>
  <c r="P82" i="1"/>
  <c r="I89" i="1"/>
  <c r="Q81" i="1"/>
  <c r="P81" i="1"/>
  <c r="H89" i="1"/>
  <c r="Q80" i="1"/>
  <c r="P80" i="1"/>
  <c r="G89" i="1"/>
  <c r="Q79" i="1"/>
  <c r="P79" i="1"/>
  <c r="F89" i="1"/>
  <c r="Q78" i="1"/>
  <c r="P78" i="1"/>
  <c r="E89" i="1"/>
  <c r="Q77" i="1"/>
  <c r="P77" i="1"/>
  <c r="D89" i="1"/>
  <c r="Q76" i="1"/>
  <c r="P76" i="1"/>
  <c r="C89" i="1"/>
  <c r="Q75" i="1"/>
  <c r="P75" i="1"/>
  <c r="B89" i="1"/>
  <c r="P72" i="1"/>
  <c r="T5" i="1" s="1"/>
  <c r="Q70" i="1"/>
  <c r="P70" i="1"/>
  <c r="O71" i="1"/>
  <c r="Q69" i="1"/>
  <c r="P69" i="1"/>
  <c r="N71" i="1"/>
  <c r="Q68" i="1"/>
  <c r="P68" i="1"/>
  <c r="M71" i="1"/>
  <c r="Q67" i="1"/>
  <c r="P67" i="1"/>
  <c r="L71" i="1"/>
  <c r="Q66" i="1"/>
  <c r="P66" i="1"/>
  <c r="K71" i="1"/>
  <c r="Q65" i="1"/>
  <c r="P65" i="1"/>
  <c r="J71" i="1"/>
  <c r="Q64" i="1"/>
  <c r="P64" i="1"/>
  <c r="I71" i="1"/>
  <c r="Q63" i="1"/>
  <c r="P63" i="1"/>
  <c r="H71" i="1"/>
  <c r="Q62" i="1"/>
  <c r="P62" i="1"/>
  <c r="G71" i="1"/>
  <c r="Q61" i="1"/>
  <c r="P61" i="1"/>
  <c r="F71" i="1"/>
  <c r="Q60" i="1"/>
  <c r="P60" i="1"/>
  <c r="E71" i="1"/>
  <c r="Q59" i="1"/>
  <c r="P59" i="1"/>
  <c r="D71" i="1"/>
  <c r="Q58" i="1"/>
  <c r="P58" i="1"/>
  <c r="C71" i="1"/>
  <c r="Q57" i="1"/>
  <c r="P57" i="1"/>
  <c r="B71" i="1"/>
  <c r="P54" i="1"/>
  <c r="T4" i="1" s="1"/>
  <c r="Q52" i="1"/>
  <c r="P52" i="1"/>
  <c r="O53" i="1"/>
  <c r="Q51" i="1"/>
  <c r="P51" i="1"/>
  <c r="N53" i="1"/>
  <c r="Q50" i="1"/>
  <c r="P50" i="1"/>
  <c r="M53" i="1"/>
  <c r="Q49" i="1"/>
  <c r="P49" i="1"/>
  <c r="L53" i="1"/>
  <c r="Q48" i="1"/>
  <c r="P48" i="1"/>
  <c r="K53" i="1"/>
  <c r="Q47" i="1"/>
  <c r="P47" i="1"/>
  <c r="J53" i="1"/>
  <c r="Q46" i="1"/>
  <c r="P46" i="1"/>
  <c r="I53" i="1"/>
  <c r="Q45" i="1"/>
  <c r="P45" i="1"/>
  <c r="H53" i="1"/>
  <c r="Q44" i="1"/>
  <c r="P44" i="1"/>
  <c r="G53" i="1"/>
  <c r="Q43" i="1"/>
  <c r="P43" i="1"/>
  <c r="F53" i="1"/>
  <c r="Q42" i="1"/>
  <c r="P42" i="1"/>
  <c r="E53" i="1"/>
  <c r="Q41" i="1"/>
  <c r="P41" i="1"/>
  <c r="D53" i="1"/>
  <c r="Q40" i="1"/>
  <c r="P40" i="1"/>
  <c r="C53" i="1"/>
  <c r="Q39" i="1"/>
  <c r="P39" i="1"/>
  <c r="B53" i="1"/>
  <c r="P36" i="1"/>
  <c r="T3" i="1" s="1"/>
  <c r="Q34" i="1"/>
  <c r="P34" i="1"/>
  <c r="O35" i="1"/>
  <c r="Q33" i="1"/>
  <c r="P33" i="1"/>
  <c r="N35" i="1"/>
  <c r="Q32" i="1"/>
  <c r="P32" i="1"/>
  <c r="M35" i="1"/>
  <c r="Q31" i="1"/>
  <c r="P31" i="1"/>
  <c r="L35" i="1"/>
  <c r="Q30" i="1"/>
  <c r="P30" i="1"/>
  <c r="K35" i="1"/>
  <c r="Q29" i="1"/>
  <c r="P29" i="1"/>
  <c r="J35" i="1"/>
  <c r="Q28" i="1"/>
  <c r="P28" i="1"/>
  <c r="I35" i="1"/>
  <c r="Q27" i="1"/>
  <c r="P27" i="1"/>
  <c r="H35" i="1"/>
  <c r="Q26" i="1"/>
  <c r="P26" i="1"/>
  <c r="G35" i="1"/>
  <c r="Q25" i="1"/>
  <c r="P25" i="1"/>
  <c r="F35" i="1"/>
  <c r="Q24" i="1"/>
  <c r="P24" i="1"/>
  <c r="E35" i="1"/>
  <c r="Q23" i="1"/>
  <c r="P23" i="1"/>
  <c r="D35" i="1"/>
  <c r="Q22" i="1"/>
  <c r="P22" i="1"/>
  <c r="C35" i="1"/>
  <c r="Q21" i="1"/>
  <c r="P21" i="1"/>
  <c r="B35" i="1"/>
  <c r="P18" i="1"/>
  <c r="Q16" i="1"/>
  <c r="P16" i="1"/>
  <c r="O17" i="1"/>
  <c r="Q15" i="1"/>
  <c r="P15" i="1"/>
  <c r="N17" i="1"/>
  <c r="Q14" i="1"/>
  <c r="P14" i="1"/>
  <c r="M17" i="1"/>
  <c r="Q13" i="1"/>
  <c r="P13" i="1"/>
  <c r="L17" i="1"/>
  <c r="Q12" i="1"/>
  <c r="P12" i="1"/>
  <c r="K17" i="1"/>
  <c r="Q11" i="1"/>
  <c r="P11" i="1"/>
  <c r="J17" i="1"/>
  <c r="Q10" i="1"/>
  <c r="P10" i="1"/>
  <c r="I17" i="1"/>
  <c r="Q9" i="1"/>
  <c r="P9" i="1"/>
  <c r="H17" i="1"/>
  <c r="Q8" i="1"/>
  <c r="P8" i="1"/>
  <c r="G17" i="1"/>
  <c r="Q7" i="1"/>
  <c r="P7" i="1"/>
  <c r="F17" i="1"/>
  <c r="Q6" i="1"/>
  <c r="P6" i="1"/>
  <c r="E17" i="1"/>
  <c r="Q5" i="1"/>
  <c r="P5" i="1"/>
  <c r="D17" i="1"/>
  <c r="Q4" i="1"/>
  <c r="P4" i="1"/>
  <c r="C17" i="1"/>
  <c r="Q3" i="1"/>
  <c r="P3" i="1"/>
  <c r="B17" i="1"/>
  <c r="T2" i="1"/>
  <c r="Q53" i="23" l="1"/>
  <c r="Q53" i="26"/>
  <c r="P71" i="26"/>
  <c r="S5" i="26" s="1"/>
  <c r="Q53" i="2"/>
  <c r="P71" i="2"/>
  <c r="S5" i="2" s="1"/>
  <c r="Q53" i="22"/>
  <c r="P53" i="1"/>
  <c r="S4" i="1" s="1"/>
  <c r="P107" i="1"/>
  <c r="S7" i="1" s="1"/>
  <c r="P35" i="2"/>
  <c r="S3" i="2" s="1"/>
  <c r="Q125" i="2"/>
  <c r="P53" i="3"/>
  <c r="S4" i="3" s="1"/>
  <c r="P53" i="21"/>
  <c r="S4" i="21" s="1"/>
  <c r="P107" i="21"/>
  <c r="S7" i="21" s="1"/>
  <c r="Q143" i="21"/>
  <c r="P35" i="23"/>
  <c r="S3" i="23" s="1"/>
  <c r="P89" i="23"/>
  <c r="S6" i="23" s="1"/>
  <c r="Q125" i="23"/>
  <c r="Q89" i="22"/>
  <c r="Q89" i="23"/>
  <c r="Q35" i="21"/>
  <c r="Q89" i="26"/>
  <c r="Q125" i="26"/>
  <c r="P35" i="22"/>
  <c r="S3" i="22" s="1"/>
  <c r="Q71" i="22"/>
  <c r="P107" i="25"/>
  <c r="S7" i="25" s="1"/>
  <c r="P35" i="1"/>
  <c r="S3" i="1" s="1"/>
  <c r="Q71" i="1"/>
  <c r="Q89" i="1"/>
  <c r="Q125" i="1"/>
  <c r="Q17" i="2"/>
  <c r="P53" i="2"/>
  <c r="S4" i="2" s="1"/>
  <c r="P107" i="2"/>
  <c r="S7" i="2" s="1"/>
  <c r="Q143" i="2"/>
  <c r="P35" i="3"/>
  <c r="S3" i="3" s="1"/>
  <c r="Q71" i="3"/>
  <c r="Q89" i="3"/>
  <c r="Q125" i="3"/>
  <c r="P17" i="26"/>
  <c r="S2" i="26" s="1"/>
  <c r="P53" i="26"/>
  <c r="S4" i="26" s="1"/>
  <c r="P107" i="26"/>
  <c r="S7" i="26" s="1"/>
  <c r="P143" i="26"/>
  <c r="S9" i="26" s="1"/>
  <c r="P35" i="21"/>
  <c r="S3" i="21" s="1"/>
  <c r="Q71" i="21"/>
  <c r="Q89" i="21"/>
  <c r="Q125" i="21"/>
  <c r="Q17" i="22"/>
  <c r="P53" i="22"/>
  <c r="S4" i="22" s="1"/>
  <c r="P107" i="22"/>
  <c r="S7" i="22" s="1"/>
  <c r="Q143" i="22"/>
  <c r="P35" i="25"/>
  <c r="S3" i="25" s="1"/>
  <c r="Q71" i="25"/>
  <c r="Q89" i="25"/>
  <c r="Q125" i="25"/>
  <c r="P17" i="23"/>
  <c r="S2" i="23" s="1"/>
  <c r="P53" i="23"/>
  <c r="S4" i="23" s="1"/>
  <c r="P107" i="23"/>
  <c r="S7" i="23" s="1"/>
  <c r="Q143" i="23"/>
  <c r="P35" i="24"/>
  <c r="S3" i="24" s="1"/>
  <c r="Q71" i="24"/>
  <c r="Q89" i="24"/>
  <c r="Q125" i="24"/>
  <c r="Q35" i="3"/>
  <c r="Q35" i="24"/>
  <c r="Q17" i="3"/>
  <c r="P35" i="26"/>
  <c r="S3" i="26" s="1"/>
  <c r="Q71" i="26"/>
  <c r="Q17" i="21"/>
  <c r="P89" i="22"/>
  <c r="S6" i="22" s="1"/>
  <c r="Q125" i="22"/>
  <c r="P17" i="25"/>
  <c r="S2" i="25" s="1"/>
  <c r="P71" i="23"/>
  <c r="S5" i="23" s="1"/>
  <c r="Q17" i="24"/>
  <c r="P53" i="24"/>
  <c r="S4" i="24" s="1"/>
  <c r="P107" i="24"/>
  <c r="S7" i="24" s="1"/>
  <c r="Q143" i="24"/>
  <c r="Q53" i="1"/>
  <c r="P71" i="1"/>
  <c r="S5" i="1" s="1"/>
  <c r="Q53" i="3"/>
  <c r="P71" i="3"/>
  <c r="S5" i="3" s="1"/>
  <c r="Q53" i="21"/>
  <c r="P71" i="21"/>
  <c r="S5" i="21" s="1"/>
  <c r="Q53" i="25"/>
  <c r="Q53" i="24"/>
  <c r="Q35" i="1"/>
  <c r="Q35" i="25"/>
  <c r="Q17" i="1"/>
  <c r="Q143" i="1"/>
  <c r="Q71" i="2"/>
  <c r="Q89" i="2"/>
  <c r="P107" i="3"/>
  <c r="S7" i="3" s="1"/>
  <c r="Q143" i="3"/>
  <c r="P53" i="25"/>
  <c r="S4" i="25" s="1"/>
  <c r="Q143" i="25"/>
  <c r="Q35" i="2"/>
  <c r="Q35" i="26"/>
  <c r="Q35" i="22"/>
  <c r="Q35" i="23"/>
  <c r="P17" i="3"/>
  <c r="S2" i="3" s="1"/>
  <c r="P17" i="22"/>
  <c r="S2" i="22" s="1"/>
  <c r="P143" i="3"/>
  <c r="S9" i="3" s="1"/>
  <c r="Q17" i="26"/>
  <c r="P143" i="22"/>
  <c r="S9" i="22" s="1"/>
  <c r="Q17" i="25"/>
  <c r="Q17" i="23"/>
  <c r="P143" i="23"/>
  <c r="S9" i="23" s="1"/>
  <c r="P143" i="24"/>
  <c r="S9" i="24" s="1"/>
  <c r="P89" i="1"/>
  <c r="S6" i="1" s="1"/>
  <c r="Q107" i="1"/>
  <c r="P89" i="2"/>
  <c r="S6" i="2" s="1"/>
  <c r="Q107" i="2"/>
  <c r="P89" i="3"/>
  <c r="S6" i="3" s="1"/>
  <c r="Q107" i="3"/>
  <c r="P89" i="26"/>
  <c r="S6" i="26" s="1"/>
  <c r="Q107" i="26"/>
  <c r="P89" i="21"/>
  <c r="S6" i="21" s="1"/>
  <c r="Q107" i="21"/>
  <c r="Q107" i="22"/>
  <c r="P89" i="25"/>
  <c r="S6" i="25" s="1"/>
  <c r="Q107" i="25"/>
  <c r="Q107" i="23"/>
  <c r="P89" i="24"/>
  <c r="S6" i="24" s="1"/>
  <c r="Q107" i="24"/>
  <c r="Q71" i="23"/>
  <c r="P17" i="21"/>
  <c r="S2" i="21" s="1"/>
  <c r="P17" i="24"/>
  <c r="S2" i="24" s="1"/>
  <c r="P143" i="2"/>
  <c r="S9" i="2" s="1"/>
  <c r="P143" i="25"/>
  <c r="S9" i="25" s="1"/>
  <c r="P71" i="22"/>
  <c r="S5" i="22" s="1"/>
  <c r="P71" i="25"/>
  <c r="S5" i="25" s="1"/>
  <c r="P71" i="24"/>
  <c r="S5" i="24" s="1"/>
  <c r="P17" i="1"/>
  <c r="S2" i="1" s="1"/>
  <c r="P17" i="2"/>
  <c r="S2" i="2" s="1"/>
  <c r="P143" i="1"/>
  <c r="S9" i="1" s="1"/>
  <c r="P143" i="21"/>
  <c r="S9" i="21" s="1"/>
  <c r="P125" i="1"/>
  <c r="S8" i="1" s="1"/>
  <c r="P125" i="2"/>
  <c r="S8" i="2" s="1"/>
  <c r="P125" i="3"/>
  <c r="S8" i="3" s="1"/>
  <c r="P125" i="26"/>
  <c r="S8" i="26" s="1"/>
  <c r="Q143" i="26"/>
  <c r="P125" i="21"/>
  <c r="S8" i="21" s="1"/>
  <c r="P125" i="22"/>
  <c r="S8" i="22" s="1"/>
  <c r="P125" i="25"/>
  <c r="S8" i="25" s="1"/>
  <c r="P125" i="23"/>
  <c r="S8" i="23" s="1"/>
  <c r="P125" i="24"/>
  <c r="S8" i="24" s="1"/>
  <c r="B5" i="9"/>
  <c r="B6" i="9"/>
  <c r="B7" i="9"/>
  <c r="B8" i="9"/>
  <c r="B9" i="9"/>
  <c r="B10" i="9"/>
  <c r="B11" i="9"/>
  <c r="B4" i="9"/>
  <c r="D26" i="20"/>
  <c r="D21" i="20"/>
  <c r="D22" i="20"/>
  <c r="D23" i="20"/>
  <c r="D24" i="20"/>
  <c r="D25" i="20"/>
  <c r="D27" i="20"/>
  <c r="D28" i="20"/>
  <c r="D20" i="20"/>
  <c r="D3" i="20"/>
  <c r="D4" i="20"/>
  <c r="D5" i="20"/>
  <c r="D6" i="20"/>
  <c r="D7" i="20"/>
  <c r="D8" i="20"/>
  <c r="D9" i="20"/>
  <c r="D10" i="20"/>
  <c r="D2" i="20"/>
  <c r="M58" i="27"/>
  <c r="B80" i="27"/>
  <c r="F10" i="27"/>
  <c r="O122" i="27"/>
  <c r="B70" i="27"/>
  <c r="N59" i="27"/>
  <c r="K5" i="9"/>
  <c r="D79" i="27"/>
  <c r="I106" i="27"/>
  <c r="L123" i="27"/>
  <c r="L23" i="27"/>
  <c r="H65" i="27"/>
  <c r="E31" i="27"/>
  <c r="M41" i="27"/>
  <c r="E97" i="27"/>
  <c r="J27" i="27"/>
  <c r="J6" i="27"/>
  <c r="O69" i="27"/>
  <c r="L111" i="27"/>
  <c r="I3" i="27"/>
  <c r="I58" i="27"/>
  <c r="H45" i="27"/>
  <c r="J133" i="27"/>
  <c r="I65" i="27"/>
  <c r="O39" i="27"/>
  <c r="O112" i="27"/>
  <c r="I138" i="27"/>
  <c r="H111" i="27"/>
  <c r="M99" i="27"/>
  <c r="L137" i="27"/>
  <c r="K46" i="27"/>
  <c r="E88" i="27"/>
  <c r="D14" i="27"/>
  <c r="H48" i="27"/>
  <c r="J43" i="27"/>
  <c r="J13" i="27"/>
  <c r="M25" i="27"/>
  <c r="E119" i="27"/>
  <c r="C135" i="27"/>
  <c r="D69" i="27"/>
  <c r="J12" i="27"/>
  <c r="O4" i="27"/>
  <c r="F101" i="27"/>
  <c r="H75" i="27"/>
  <c r="C16" i="27"/>
  <c r="I39" i="27"/>
  <c r="E69" i="27"/>
  <c r="I68" i="27"/>
  <c r="H136" i="27"/>
  <c r="B75" i="27"/>
  <c r="N77" i="27"/>
  <c r="N103" i="27"/>
  <c r="D57" i="27"/>
  <c r="B46" i="27"/>
  <c r="G75" i="27"/>
  <c r="E80" i="27"/>
  <c r="D141" i="27"/>
  <c r="K14" i="27"/>
  <c r="C66" i="27"/>
  <c r="N97" i="27"/>
  <c r="H47" i="27"/>
  <c r="L47" i="27"/>
  <c r="I120" i="27"/>
  <c r="N98" i="27"/>
  <c r="F64" i="27"/>
  <c r="B132" i="27"/>
  <c r="I99" i="27"/>
  <c r="E33" i="27"/>
  <c r="H130" i="27"/>
  <c r="E12" i="27"/>
  <c r="D115" i="27"/>
  <c r="L139" i="27"/>
  <c r="H52" i="27"/>
  <c r="F122" i="27"/>
  <c r="N24" i="27"/>
  <c r="M59" i="27"/>
  <c r="O85" i="27"/>
  <c r="I50" i="27"/>
  <c r="F112" i="27"/>
  <c r="C12" i="27"/>
  <c r="H88" i="27"/>
  <c r="E70" i="27"/>
  <c r="F133" i="27"/>
  <c r="N129" i="27"/>
  <c r="J63" i="27"/>
  <c r="N139" i="27"/>
  <c r="J57" i="27"/>
  <c r="K66" i="27"/>
  <c r="N136" i="27"/>
  <c r="L22" i="27"/>
  <c r="C80" i="27"/>
  <c r="N27" i="27"/>
  <c r="B15" i="27"/>
  <c r="G63" i="27"/>
  <c r="C61" i="27"/>
  <c r="J120" i="27"/>
  <c r="D15" i="27"/>
  <c r="K6" i="9"/>
  <c r="L124" i="27"/>
  <c r="B65" i="27"/>
  <c r="L104" i="27"/>
  <c r="K47" i="27"/>
  <c r="F78" i="27"/>
  <c r="H15" i="27"/>
  <c r="M48" i="27"/>
  <c r="H3" i="27"/>
  <c r="N64" i="27"/>
  <c r="F26" i="27"/>
  <c r="N75" i="27"/>
  <c r="F85" i="27"/>
  <c r="E47" i="27"/>
  <c r="N87" i="27"/>
  <c r="C57" i="27"/>
  <c r="C117" i="27"/>
  <c r="O102" i="27"/>
  <c r="H63" i="27"/>
  <c r="G27" i="27"/>
  <c r="O45" i="27"/>
  <c r="D68" i="27"/>
  <c r="I119" i="27"/>
  <c r="I30" i="27"/>
  <c r="E86" i="27"/>
  <c r="C130" i="27"/>
  <c r="F42" i="27"/>
  <c r="B31" i="27"/>
  <c r="B63" i="27"/>
  <c r="F132" i="27"/>
  <c r="E82" i="27"/>
  <c r="M69" i="27"/>
  <c r="F137" i="27"/>
  <c r="L95" i="27"/>
  <c r="N26" i="27"/>
  <c r="K10" i="27"/>
  <c r="K44" i="27"/>
  <c r="I11" i="27"/>
  <c r="H51" i="27"/>
  <c r="G43" i="27"/>
  <c r="N21" i="27"/>
  <c r="E138" i="27"/>
  <c r="K124" i="27"/>
  <c r="H137" i="27"/>
  <c r="D116" i="27"/>
  <c r="E140" i="27"/>
  <c r="D70" i="27"/>
  <c r="G66" i="27"/>
  <c r="C10" i="9"/>
  <c r="D67" i="27"/>
  <c r="F43" i="27"/>
  <c r="F25" i="27"/>
  <c r="K59" i="27"/>
  <c r="J142" i="27"/>
  <c r="C31" i="27"/>
  <c r="F66" i="27"/>
  <c r="O49" i="27"/>
  <c r="O114" i="27"/>
  <c r="K62" i="27"/>
  <c r="N23" i="27"/>
  <c r="I137" i="27"/>
  <c r="I60" i="27"/>
  <c r="C94" i="27"/>
  <c r="J11" i="9"/>
  <c r="E102" i="27"/>
  <c r="E135" i="27"/>
  <c r="H34" i="27"/>
  <c r="L82" i="27"/>
  <c r="K15" i="27"/>
  <c r="D7" i="9"/>
  <c r="E50" i="27"/>
  <c r="N29" i="27"/>
  <c r="L85" i="27"/>
  <c r="L28" i="27"/>
  <c r="K5" i="27"/>
  <c r="L68" i="27"/>
  <c r="M97" i="27"/>
  <c r="I10" i="27"/>
  <c r="F69" i="27"/>
  <c r="M95" i="27"/>
  <c r="K76" i="27"/>
  <c r="J124" i="27"/>
  <c r="E30" i="27"/>
  <c r="B21" i="27"/>
  <c r="K103" i="27"/>
  <c r="G86" i="27"/>
  <c r="I32" i="27"/>
  <c r="O31" i="27"/>
  <c r="I43" i="27"/>
  <c r="D98" i="27"/>
  <c r="J137" i="27"/>
  <c r="L16" i="27"/>
  <c r="G12" i="27"/>
  <c r="C131" i="27"/>
  <c r="G103" i="27"/>
  <c r="G137" i="27"/>
  <c r="B82" i="27"/>
  <c r="J11" i="27"/>
  <c r="N115" i="27"/>
  <c r="J14" i="27"/>
  <c r="K95" i="27"/>
  <c r="N142" i="27"/>
  <c r="I97" i="27"/>
  <c r="N49" i="27"/>
  <c r="N25" i="27"/>
  <c r="J111" i="27"/>
  <c r="F45" i="27"/>
  <c r="D61" i="27"/>
  <c r="O63" i="27"/>
  <c r="H141" i="27"/>
  <c r="J5" i="9"/>
  <c r="J64" i="27"/>
  <c r="G15" i="27"/>
  <c r="H122" i="27"/>
  <c r="N16" i="27"/>
  <c r="F117" i="27"/>
  <c r="L59" i="27"/>
  <c r="C118" i="27"/>
  <c r="O120" i="27"/>
  <c r="I5" i="27"/>
  <c r="C7" i="27"/>
  <c r="C67" i="27"/>
  <c r="C142" i="27"/>
  <c r="N114" i="27"/>
  <c r="K75" i="27"/>
  <c r="K114" i="27"/>
  <c r="G3" i="27"/>
  <c r="C11" i="27"/>
  <c r="N88" i="27"/>
  <c r="C79" i="27"/>
  <c r="B99" i="27"/>
  <c r="C106" i="27"/>
  <c r="B47" i="27"/>
  <c r="L12" i="27"/>
  <c r="L29" i="27"/>
  <c r="E42" i="27"/>
  <c r="M83" i="27"/>
  <c r="I80" i="27"/>
  <c r="G51" i="27"/>
  <c r="D9" i="9"/>
  <c r="O83" i="27"/>
  <c r="O65" i="27"/>
  <c r="K11" i="27"/>
  <c r="E39" i="27"/>
  <c r="O101" i="27"/>
  <c r="M116" i="27"/>
  <c r="B10" i="27"/>
  <c r="L102" i="27"/>
  <c r="D39" i="27"/>
  <c r="B115" i="27"/>
  <c r="L83" i="27"/>
  <c r="D96" i="27"/>
  <c r="I83" i="27"/>
  <c r="D83" i="27"/>
  <c r="N69" i="27"/>
  <c r="E120" i="27"/>
  <c r="K4" i="27"/>
  <c r="C30" i="27"/>
  <c r="B41" i="27"/>
  <c r="I135" i="27"/>
  <c r="O135" i="27"/>
  <c r="B136" i="27"/>
  <c r="J61" i="27"/>
  <c r="L9" i="27"/>
  <c r="I93" i="27"/>
  <c r="J94" i="27"/>
  <c r="M40" i="27"/>
  <c r="K137" i="27"/>
  <c r="L77" i="27"/>
  <c r="J50" i="27"/>
  <c r="M27" i="27"/>
  <c r="D94" i="27"/>
  <c r="G62" i="27"/>
  <c r="O124" i="27"/>
  <c r="B23" i="27"/>
  <c r="I52" i="27"/>
  <c r="F61" i="27"/>
  <c r="I29" i="27"/>
  <c r="L130" i="27"/>
  <c r="K119" i="27"/>
  <c r="K133" i="27"/>
  <c r="J93" i="27"/>
  <c r="I10" i="9"/>
  <c r="H22" i="27"/>
  <c r="C132" i="27"/>
  <c r="J113" i="27"/>
  <c r="G97" i="27"/>
  <c r="L11" i="27"/>
  <c r="D58" i="27"/>
  <c r="J34" i="27"/>
  <c r="K142" i="27"/>
  <c r="C4" i="9"/>
  <c r="O78" i="27"/>
  <c r="F7" i="27"/>
  <c r="H31" i="27"/>
  <c r="L13" i="27"/>
  <c r="C32" i="27"/>
  <c r="M105" i="27"/>
  <c r="I98" i="27"/>
  <c r="G83" i="27"/>
  <c r="B49" i="27"/>
  <c r="M60" i="27"/>
  <c r="M101" i="27"/>
  <c r="I9" i="9"/>
  <c r="F88" i="27"/>
  <c r="L80" i="27"/>
  <c r="E48" i="27"/>
  <c r="M30" i="27"/>
  <c r="J9" i="9"/>
  <c r="B120" i="27"/>
  <c r="D123" i="27"/>
  <c r="M26" i="27"/>
  <c r="L4" i="27"/>
  <c r="K40" i="27"/>
  <c r="G31" i="27"/>
  <c r="C46" i="27"/>
  <c r="I103" i="27"/>
  <c r="J40" i="27"/>
  <c r="O142" i="27"/>
  <c r="B134" i="27"/>
  <c r="O133" i="27"/>
  <c r="C26" i="27"/>
  <c r="E83" i="27"/>
  <c r="J70" i="27"/>
  <c r="O25" i="27"/>
  <c r="M6" i="27"/>
  <c r="O138" i="27"/>
  <c r="B40" i="27"/>
  <c r="M10" i="27"/>
  <c r="L101" i="27"/>
  <c r="I24" i="27"/>
  <c r="O32" i="27"/>
  <c r="C28" i="27"/>
  <c r="J106" i="27"/>
  <c r="D137" i="27"/>
  <c r="M65" i="27"/>
  <c r="I11" i="9"/>
  <c r="E141" i="27"/>
  <c r="F60" i="27"/>
  <c r="H4" i="9"/>
  <c r="L30" i="27"/>
  <c r="H9" i="27"/>
  <c r="I130" i="27"/>
  <c r="I134" i="27"/>
  <c r="B29" i="27"/>
  <c r="B39" i="27"/>
  <c r="B4" i="27"/>
  <c r="D77" i="27"/>
  <c r="I13" i="27"/>
  <c r="D10" i="9"/>
  <c r="G10" i="27"/>
  <c r="G112" i="27"/>
  <c r="E26" i="27"/>
  <c r="J102" i="27"/>
  <c r="E142" i="27"/>
  <c r="C139" i="27"/>
  <c r="D30" i="27"/>
  <c r="E9" i="9"/>
  <c r="H40" i="27"/>
  <c r="C47" i="27"/>
  <c r="H16" i="27"/>
  <c r="G34" i="27"/>
  <c r="K138" i="27"/>
  <c r="D16" i="27"/>
  <c r="I104" i="27"/>
  <c r="C69" i="27"/>
  <c r="B111" i="27"/>
  <c r="D21" i="27"/>
  <c r="L113" i="27"/>
  <c r="F120" i="27"/>
  <c r="G32" i="27"/>
  <c r="F80" i="27"/>
  <c r="B118" i="27"/>
  <c r="E66" i="27"/>
  <c r="G111" i="27"/>
  <c r="M120" i="27"/>
  <c r="K113" i="27"/>
  <c r="C5" i="9"/>
  <c r="J49" i="27"/>
  <c r="G93" i="27"/>
  <c r="D31" i="27"/>
  <c r="M85" i="27"/>
  <c r="N134" i="27"/>
  <c r="M118" i="27"/>
  <c r="H6" i="9"/>
  <c r="M113" i="27"/>
  <c r="M94" i="27"/>
  <c r="L142" i="27"/>
  <c r="I95" i="27"/>
  <c r="N93" i="27"/>
  <c r="K48" i="27"/>
  <c r="N105" i="27"/>
  <c r="M64" i="27"/>
  <c r="L105" i="27"/>
  <c r="D121" i="27"/>
  <c r="N47" i="27"/>
  <c r="F106" i="27"/>
  <c r="K77" i="27"/>
  <c r="G69" i="27"/>
  <c r="K118" i="27"/>
  <c r="B13" i="27"/>
  <c r="F103" i="27"/>
  <c r="E34" i="27"/>
  <c r="G33" i="27"/>
  <c r="G45" i="27"/>
  <c r="J7" i="27"/>
  <c r="D44" i="27"/>
  <c r="K51" i="27"/>
  <c r="N96" i="27"/>
  <c r="H101" i="27"/>
  <c r="D47" i="27"/>
  <c r="H11" i="9"/>
  <c r="I22" i="27"/>
  <c r="F28" i="27"/>
  <c r="D131" i="27"/>
  <c r="G4" i="27"/>
  <c r="C45" i="27"/>
  <c r="L79" i="27"/>
  <c r="E87" i="27"/>
  <c r="F119" i="27"/>
  <c r="M47" i="27"/>
  <c r="N11" i="27"/>
  <c r="I142" i="27"/>
  <c r="D80" i="27"/>
  <c r="M137" i="27"/>
  <c r="I79" i="27"/>
  <c r="G113" i="27"/>
  <c r="N101" i="27"/>
  <c r="K116" i="27"/>
  <c r="J116" i="27"/>
  <c r="M49" i="27"/>
  <c r="B62" i="27"/>
  <c r="M130" i="27"/>
  <c r="F99" i="27"/>
  <c r="L78" i="27"/>
  <c r="K88" i="27"/>
  <c r="L5" i="27"/>
  <c r="N102" i="27"/>
  <c r="J22" i="27"/>
  <c r="K83" i="27"/>
  <c r="J81" i="27"/>
  <c r="L76" i="27"/>
  <c r="C104" i="27"/>
  <c r="N79" i="27"/>
  <c r="J45" i="27"/>
  <c r="G142" i="27"/>
  <c r="C9" i="27"/>
  <c r="N141" i="27"/>
  <c r="C93" i="27"/>
  <c r="E103" i="27"/>
  <c r="J96" i="27"/>
  <c r="N137" i="27"/>
  <c r="M141" i="27"/>
  <c r="H29" i="27"/>
  <c r="N39" i="27"/>
  <c r="M51" i="27"/>
  <c r="K101" i="27"/>
  <c r="N51" i="27"/>
  <c r="M11" i="27"/>
  <c r="K86" i="27"/>
  <c r="L99" i="27"/>
  <c r="I84" i="27"/>
  <c r="C5" i="27"/>
  <c r="I27" i="27"/>
  <c r="M134" i="27"/>
  <c r="C24" i="27"/>
  <c r="G58" i="27"/>
  <c r="B66" i="27"/>
  <c r="G135" i="27"/>
  <c r="F21" i="27"/>
  <c r="O23" i="27"/>
  <c r="D113" i="27"/>
  <c r="F111" i="27"/>
  <c r="C63" i="27"/>
  <c r="K10" i="9"/>
  <c r="I141" i="27"/>
  <c r="O33" i="27"/>
  <c r="E117" i="27"/>
  <c r="B64" i="27"/>
  <c r="M114" i="27"/>
  <c r="C78" i="27"/>
  <c r="N112" i="27"/>
  <c r="I46" i="27"/>
  <c r="H96" i="27"/>
  <c r="M67" i="27"/>
  <c r="K49" i="27"/>
  <c r="J97" i="27"/>
  <c r="N84" i="27"/>
  <c r="H129" i="27"/>
  <c r="I7" i="27"/>
  <c r="G129" i="27"/>
  <c r="N30" i="27"/>
  <c r="B131" i="27"/>
  <c r="C62" i="27"/>
  <c r="M115" i="27"/>
  <c r="D7" i="27"/>
  <c r="O130" i="27"/>
  <c r="G21" i="27"/>
  <c r="B121" i="27"/>
  <c r="K80" i="27"/>
  <c r="H41" i="27"/>
  <c r="B30" i="27"/>
  <c r="B44" i="27"/>
  <c r="O136" i="27"/>
  <c r="E60" i="27"/>
  <c r="G29" i="27"/>
  <c r="J58" i="27"/>
  <c r="K7" i="27"/>
  <c r="E130" i="27"/>
  <c r="J87" i="27"/>
  <c r="H85" i="27"/>
  <c r="H7" i="9"/>
  <c r="K30" i="27"/>
  <c r="G95" i="27"/>
  <c r="N4" i="27"/>
  <c r="F98" i="27"/>
  <c r="J76" i="27"/>
  <c r="G82" i="27"/>
  <c r="K64" i="27"/>
  <c r="D27" i="27"/>
  <c r="D130" i="27"/>
  <c r="O95" i="27"/>
  <c r="G48" i="27"/>
  <c r="B97" i="27"/>
  <c r="F63" i="27"/>
  <c r="L116" i="27"/>
  <c r="G28" i="27"/>
  <c r="L121" i="27"/>
  <c r="L25" i="27"/>
  <c r="B84" i="27"/>
  <c r="O52" i="27"/>
  <c r="F77" i="27"/>
  <c r="B94" i="27"/>
  <c r="K129" i="27"/>
  <c r="H61" i="27"/>
  <c r="B79" i="27"/>
  <c r="K58" i="27"/>
  <c r="C98" i="27"/>
  <c r="I33" i="27"/>
  <c r="E4" i="9"/>
  <c r="G122" i="27"/>
  <c r="K68" i="27"/>
  <c r="L44" i="27"/>
  <c r="O98" i="27"/>
  <c r="I6" i="27"/>
  <c r="F40" i="27"/>
  <c r="I4" i="27"/>
  <c r="N31" i="27"/>
  <c r="M124" i="27"/>
  <c r="M104" i="27"/>
  <c r="K105" i="27"/>
  <c r="N70" i="27"/>
  <c r="F139" i="27"/>
  <c r="K24" i="27"/>
  <c r="J77" i="27"/>
  <c r="C15" i="27"/>
  <c r="K29" i="27"/>
  <c r="K13" i="27"/>
  <c r="H105" i="27"/>
  <c r="E4" i="27"/>
  <c r="H14" i="27"/>
  <c r="H67" i="27"/>
  <c r="I45" i="27"/>
  <c r="C49" i="27"/>
  <c r="K123" i="27"/>
  <c r="I57" i="27"/>
  <c r="D60" i="27"/>
  <c r="G11" i="27"/>
  <c r="F31" i="27"/>
  <c r="N43" i="27"/>
  <c r="E63" i="27"/>
  <c r="D82" i="27"/>
  <c r="K87" i="27"/>
  <c r="C75" i="27"/>
  <c r="F6" i="27"/>
  <c r="G9" i="27"/>
  <c r="J135" i="27"/>
  <c r="G60" i="27"/>
  <c r="F50" i="27"/>
  <c r="I121" i="27"/>
  <c r="I8" i="27"/>
  <c r="F39" i="27"/>
  <c r="C99" i="27"/>
  <c r="M34" i="27"/>
  <c r="I5" i="9"/>
  <c r="J33" i="27"/>
  <c r="L129" i="27"/>
  <c r="N42" i="27"/>
  <c r="O70" i="27"/>
  <c r="D23" i="27"/>
  <c r="N111" i="27"/>
  <c r="C122" i="27"/>
  <c r="L138" i="27"/>
  <c r="L49" i="27"/>
  <c r="E96" i="27"/>
  <c r="B61" i="27"/>
  <c r="I122" i="27"/>
  <c r="C9" i="9"/>
  <c r="D140" i="27"/>
  <c r="C96" i="27"/>
  <c r="H39" i="27"/>
  <c r="G114" i="27"/>
  <c r="M32" i="27"/>
  <c r="L27" i="27"/>
  <c r="O9" i="27"/>
  <c r="H57" i="27"/>
  <c r="F136" i="27"/>
  <c r="J82" i="27"/>
  <c r="K135" i="27"/>
  <c r="M9" i="27"/>
  <c r="N61" i="27"/>
  <c r="B95" i="27"/>
  <c r="F86" i="27"/>
  <c r="F83" i="27"/>
  <c r="M5" i="27"/>
  <c r="E122" i="27"/>
  <c r="M7" i="27"/>
  <c r="O81" i="27"/>
  <c r="C39" i="27"/>
  <c r="D49" i="27"/>
  <c r="D66" i="27"/>
  <c r="E58" i="27"/>
  <c r="N45" i="27"/>
  <c r="L32" i="27"/>
  <c r="F41" i="27"/>
  <c r="G41" i="27"/>
  <c r="K69" i="27"/>
  <c r="K96" i="27"/>
  <c r="G117" i="27"/>
  <c r="G26" i="27"/>
  <c r="E3" i="27"/>
  <c r="D95" i="27"/>
  <c r="I42" i="27"/>
  <c r="E105" i="27"/>
  <c r="N50" i="27"/>
  <c r="M29" i="27"/>
  <c r="E116" i="27"/>
  <c r="B130" i="27"/>
  <c r="F29" i="27"/>
  <c r="M119" i="27"/>
  <c r="H103" i="27"/>
  <c r="B68" i="27"/>
  <c r="G77" i="27"/>
  <c r="O11" i="27"/>
  <c r="O99" i="27"/>
  <c r="N44" i="27"/>
  <c r="M142" i="27"/>
  <c r="O59" i="27"/>
  <c r="D40" i="27"/>
  <c r="I8" i="9"/>
  <c r="J7" i="9"/>
  <c r="M140" i="27"/>
  <c r="M24" i="27"/>
  <c r="H116" i="27"/>
  <c r="C141" i="27"/>
  <c r="K43" i="27"/>
  <c r="E27" i="27"/>
  <c r="B32" i="27"/>
  <c r="N33" i="27"/>
  <c r="G118" i="27"/>
  <c r="M3" i="27"/>
  <c r="C136" i="27"/>
  <c r="O57" i="27"/>
  <c r="H28" i="27"/>
  <c r="J23" i="27"/>
  <c r="L97" i="27"/>
  <c r="F57" i="27"/>
  <c r="J39" i="27"/>
  <c r="D88" i="27"/>
  <c r="N123" i="27"/>
  <c r="C84" i="27"/>
  <c r="J103" i="27"/>
  <c r="E118" i="27"/>
  <c r="H25" i="27"/>
  <c r="D135" i="27"/>
  <c r="D11" i="9"/>
  <c r="C120" i="27"/>
  <c r="N3" i="27"/>
  <c r="J141" i="27"/>
  <c r="C64" i="27"/>
  <c r="D8" i="9"/>
  <c r="E98" i="27"/>
  <c r="G10" i="9"/>
  <c r="J10" i="27"/>
  <c r="H118" i="27"/>
  <c r="J26" i="27"/>
  <c r="E28" i="27"/>
  <c r="D114" i="27"/>
  <c r="C68" i="27"/>
  <c r="K8" i="27"/>
  <c r="B52" i="27"/>
  <c r="C101" i="27"/>
  <c r="K99" i="27"/>
  <c r="D134" i="27"/>
  <c r="D29" i="27"/>
  <c r="M23" i="27"/>
  <c r="B11" i="27"/>
  <c r="C82" i="27"/>
  <c r="M96" i="27"/>
  <c r="G25" i="27"/>
  <c r="N68" i="27"/>
  <c r="C44" i="27"/>
  <c r="L41" i="27"/>
  <c r="J139" i="27"/>
  <c r="H42" i="27"/>
  <c r="E22" i="27"/>
  <c r="E11" i="9"/>
  <c r="J65" i="27"/>
  <c r="D4" i="27"/>
  <c r="K11" i="9"/>
  <c r="H9" i="9"/>
  <c r="D63" i="27"/>
  <c r="C70" i="27"/>
  <c r="K120" i="27"/>
  <c r="O141" i="27"/>
  <c r="D129" i="27"/>
  <c r="K131" i="27"/>
  <c r="O24" i="27"/>
  <c r="H44" i="27"/>
  <c r="H131" i="27"/>
  <c r="M112" i="27"/>
  <c r="H24" i="27"/>
  <c r="H68" i="27"/>
  <c r="K12" i="27"/>
  <c r="D3" i="27"/>
  <c r="M77" i="27"/>
  <c r="H86" i="27"/>
  <c r="O10" i="27"/>
  <c r="O26" i="27"/>
  <c r="I76" i="27"/>
  <c r="B26" i="27"/>
  <c r="I12" i="27"/>
  <c r="C42" i="27"/>
  <c r="C48" i="27"/>
  <c r="N62" i="27"/>
  <c r="F4" i="9"/>
  <c r="B85" i="27"/>
  <c r="N66" i="27"/>
  <c r="J100" i="27"/>
  <c r="D75" i="27"/>
  <c r="D52" i="27"/>
  <c r="G65" i="27"/>
  <c r="L15" i="27"/>
  <c r="C51" i="27"/>
  <c r="O86" i="27"/>
  <c r="B6" i="27"/>
  <c r="D32" i="27"/>
  <c r="N6" i="27"/>
  <c r="K63" i="27"/>
  <c r="B104" i="27"/>
  <c r="I66" i="27"/>
  <c r="F96" i="27"/>
  <c r="F32" i="27"/>
  <c r="G140" i="27"/>
  <c r="G84" i="27"/>
  <c r="E123" i="27"/>
  <c r="J79" i="27"/>
  <c r="O115" i="27"/>
  <c r="G138" i="27"/>
  <c r="F76" i="27"/>
  <c r="H120" i="27"/>
  <c r="I75" i="27"/>
  <c r="C119" i="27"/>
  <c r="I7" i="9"/>
  <c r="O64" i="27"/>
  <c r="L61" i="27"/>
  <c r="K117" i="27"/>
  <c r="C116" i="27"/>
  <c r="C85" i="27"/>
  <c r="G76" i="27"/>
  <c r="J28" i="27"/>
  <c r="C33" i="27"/>
  <c r="J62" i="27"/>
  <c r="B102" i="27"/>
  <c r="O12" i="27"/>
  <c r="O103" i="27"/>
  <c r="M132" i="27"/>
  <c r="M52" i="27"/>
  <c r="G101" i="27"/>
  <c r="G96" i="27"/>
  <c r="K134" i="27"/>
  <c r="O106" i="27"/>
  <c r="J29" i="27"/>
  <c r="B119" i="27"/>
  <c r="J85" i="27"/>
  <c r="L31" i="27"/>
  <c r="J24" i="27"/>
  <c r="O79" i="27"/>
  <c r="E21" i="27"/>
  <c r="E40" i="27"/>
  <c r="F58" i="27"/>
  <c r="K61" i="27"/>
  <c r="L75" i="27"/>
  <c r="B77" i="27"/>
  <c r="L96" i="27"/>
  <c r="E67" i="27"/>
  <c r="J42" i="27"/>
  <c r="J10" i="9"/>
  <c r="N65" i="27"/>
  <c r="G124" i="27"/>
  <c r="I15" i="27"/>
  <c r="B28" i="27"/>
  <c r="O68" i="27"/>
  <c r="F138" i="27"/>
  <c r="I132" i="27"/>
  <c r="D112" i="27"/>
  <c r="I101" i="27"/>
  <c r="M139" i="27"/>
  <c r="K21" i="27"/>
  <c r="J129" i="27"/>
  <c r="O111" i="27"/>
  <c r="K9" i="27"/>
  <c r="E95" i="27"/>
  <c r="J41" i="27"/>
  <c r="G16" i="27"/>
  <c r="D81" i="27"/>
  <c r="O5" i="27"/>
  <c r="H11" i="27"/>
  <c r="H66" i="27"/>
  <c r="D65" i="27"/>
  <c r="L122" i="27"/>
  <c r="O97" i="27"/>
  <c r="L117" i="27"/>
  <c r="H26" i="27"/>
  <c r="D84" i="27"/>
  <c r="E136" i="27"/>
  <c r="L21" i="27"/>
  <c r="L45" i="27"/>
  <c r="J51" i="27"/>
  <c r="O93" i="27"/>
  <c r="H78" i="27"/>
  <c r="E44" i="27"/>
  <c r="C34" i="27"/>
  <c r="H69" i="27"/>
  <c r="C133" i="27"/>
  <c r="G94" i="27"/>
  <c r="I61" i="27"/>
  <c r="F94" i="27"/>
  <c r="B114" i="27"/>
  <c r="M21" i="27"/>
  <c r="D142" i="27"/>
  <c r="F5" i="9"/>
  <c r="L100" i="27"/>
  <c r="E68" i="27"/>
  <c r="G80" i="27"/>
  <c r="G9" i="9"/>
  <c r="L57" i="27"/>
  <c r="J9" i="27"/>
  <c r="C88" i="27"/>
  <c r="G133" i="27"/>
  <c r="K112" i="27"/>
  <c r="G130" i="27"/>
  <c r="O40" i="27"/>
  <c r="I51" i="27"/>
  <c r="E121" i="27"/>
  <c r="M103" i="27"/>
  <c r="G100" i="27"/>
  <c r="D97" i="27"/>
  <c r="N12" i="27"/>
  <c r="M129" i="27"/>
  <c r="I87" i="27"/>
  <c r="K122" i="27"/>
  <c r="M123" i="27"/>
  <c r="L134" i="27"/>
  <c r="O21" i="27"/>
  <c r="H117" i="27"/>
  <c r="B139" i="27"/>
  <c r="D6" i="27"/>
  <c r="K115" i="27"/>
  <c r="H82" i="27"/>
  <c r="G42" i="27"/>
  <c r="E14" i="27"/>
  <c r="K79" i="27"/>
  <c r="L141" i="27"/>
  <c r="B16" i="27"/>
  <c r="E104" i="27"/>
  <c r="J21" i="27"/>
  <c r="H21" i="27"/>
  <c r="J30" i="27"/>
  <c r="C41" i="27"/>
  <c r="M33" i="27"/>
  <c r="E106" i="27"/>
  <c r="G61" i="27"/>
  <c r="F84" i="27"/>
  <c r="B3" i="27"/>
  <c r="O129" i="27"/>
  <c r="J131" i="27"/>
  <c r="H95" i="27"/>
  <c r="I40" i="27"/>
  <c r="D24" i="27"/>
  <c r="N106" i="27"/>
  <c r="F142" i="27"/>
  <c r="I4" i="9"/>
  <c r="G78" i="27"/>
  <c r="O8" i="27"/>
  <c r="B7" i="27"/>
  <c r="M15" i="27"/>
  <c r="I139" i="27"/>
  <c r="B45" i="27"/>
  <c r="K100" i="27"/>
  <c r="B69" i="27"/>
  <c r="C60" i="27"/>
  <c r="G5" i="9"/>
  <c r="M121" i="27"/>
  <c r="H115" i="27"/>
  <c r="H6" i="27"/>
  <c r="H43" i="27"/>
  <c r="F11" i="9"/>
  <c r="J52" i="27"/>
  <c r="E57" i="27"/>
  <c r="N58" i="27"/>
  <c r="G81" i="27"/>
  <c r="N86" i="27"/>
  <c r="E5" i="9"/>
  <c r="O43" i="27"/>
  <c r="E114" i="27"/>
  <c r="B135" i="27"/>
  <c r="M45" i="27"/>
  <c r="D59" i="27"/>
  <c r="I64" i="27"/>
  <c r="L135" i="27"/>
  <c r="D43" i="27"/>
  <c r="E15" i="27"/>
  <c r="O15" i="27"/>
  <c r="L50" i="27"/>
  <c r="N100" i="27"/>
  <c r="N10" i="27"/>
  <c r="K121" i="27"/>
  <c r="F82" i="27"/>
  <c r="L70" i="27"/>
  <c r="F9" i="9"/>
  <c r="M79" i="27"/>
  <c r="K50" i="27"/>
  <c r="O47" i="27"/>
  <c r="F47" i="27"/>
  <c r="B57" i="27"/>
  <c r="E75" i="27"/>
  <c r="C6" i="27"/>
  <c r="I14" i="27"/>
  <c r="E79" i="27"/>
  <c r="C10" i="27"/>
  <c r="J32" i="27"/>
  <c r="G46" i="27"/>
  <c r="L3" i="27"/>
  <c r="G85" i="27"/>
  <c r="O77" i="27"/>
  <c r="G13" i="27"/>
  <c r="O62" i="27"/>
  <c r="B81" i="27"/>
  <c r="F11" i="27"/>
  <c r="C103" i="27"/>
  <c r="F46" i="27"/>
  <c r="E41" i="27"/>
  <c r="O118" i="27"/>
  <c r="K65" i="27"/>
  <c r="F3" i="27"/>
  <c r="N76" i="27"/>
  <c r="G119" i="27"/>
  <c r="M13" i="27"/>
  <c r="B48" i="27"/>
  <c r="E99" i="27"/>
  <c r="C40" i="27"/>
  <c r="B34" i="27"/>
  <c r="B67" i="27"/>
  <c r="D132" i="27"/>
  <c r="H135" i="27"/>
  <c r="N117" i="27"/>
  <c r="C113" i="27"/>
  <c r="K39" i="27"/>
  <c r="N94" i="27"/>
  <c r="N57" i="27"/>
  <c r="D106" i="27"/>
  <c r="C4" i="27"/>
  <c r="I131" i="27"/>
  <c r="N121" i="27"/>
  <c r="F114" i="27"/>
  <c r="F105" i="27"/>
  <c r="H8" i="9"/>
  <c r="J98" i="27"/>
  <c r="J47" i="27"/>
  <c r="M4" i="27"/>
  <c r="M16" i="27"/>
  <c r="E81" i="27"/>
  <c r="H134" i="27"/>
  <c r="E7" i="9"/>
  <c r="D51" i="27"/>
  <c r="L62" i="27"/>
  <c r="K6" i="27"/>
  <c r="M68" i="27"/>
  <c r="J67" i="27"/>
  <c r="K22" i="27"/>
  <c r="L114" i="27"/>
  <c r="C65" i="27"/>
  <c r="L46" i="27"/>
  <c r="O41" i="27"/>
  <c r="M100" i="27"/>
  <c r="I63" i="27"/>
  <c r="N8" i="27"/>
  <c r="B138" i="27"/>
  <c r="L67" i="27"/>
  <c r="F100" i="27"/>
  <c r="K25" i="27"/>
  <c r="G120" i="27"/>
  <c r="O137" i="27"/>
  <c r="I78" i="27"/>
  <c r="D13" i="27"/>
  <c r="M131" i="27"/>
  <c r="M44" i="27"/>
  <c r="H58" i="27"/>
  <c r="H94" i="27"/>
  <c r="L40" i="27"/>
  <c r="I67" i="27"/>
  <c r="O34" i="27"/>
  <c r="H13" i="27"/>
  <c r="B22" i="27"/>
  <c r="C11" i="9"/>
  <c r="C3" i="27"/>
  <c r="I77" i="27"/>
  <c r="F16" i="27"/>
  <c r="F12" i="27"/>
  <c r="G59" i="27"/>
  <c r="D45" i="27"/>
  <c r="J123" i="27"/>
  <c r="B122" i="27"/>
  <c r="J15" i="27"/>
  <c r="J4" i="27"/>
  <c r="J115" i="27"/>
  <c r="L119" i="27"/>
  <c r="B137" i="27"/>
  <c r="E76" i="27"/>
  <c r="O100" i="27"/>
  <c r="H5" i="27"/>
  <c r="O119" i="27"/>
  <c r="E32" i="27"/>
  <c r="N120" i="27"/>
  <c r="O50" i="27"/>
  <c r="I25" i="27"/>
  <c r="L65" i="27"/>
  <c r="K84" i="27"/>
  <c r="E6" i="9"/>
  <c r="O3" i="27"/>
  <c r="O140" i="27"/>
  <c r="J16" i="27"/>
  <c r="B5" i="27"/>
  <c r="G7" i="9"/>
  <c r="H32" i="27"/>
  <c r="J121" i="27"/>
  <c r="E84" i="27"/>
  <c r="E9" i="27"/>
  <c r="B59" i="27"/>
  <c r="O76" i="27"/>
  <c r="G141" i="27"/>
  <c r="L69" i="27"/>
  <c r="G67" i="27"/>
  <c r="I69" i="27"/>
  <c r="J117" i="27"/>
  <c r="L60" i="27"/>
  <c r="H62" i="27"/>
  <c r="O113" i="27"/>
  <c r="N46" i="27"/>
  <c r="F44" i="27"/>
  <c r="J78" i="27"/>
  <c r="E133" i="27"/>
  <c r="D22" i="27"/>
  <c r="E101" i="27"/>
  <c r="C140" i="27"/>
  <c r="D138" i="27"/>
  <c r="C29" i="27"/>
  <c r="M12" i="27"/>
  <c r="L7" i="27"/>
  <c r="F24" i="27"/>
  <c r="F87" i="27"/>
  <c r="K23" i="27"/>
  <c r="F129" i="27"/>
  <c r="F6" i="9"/>
  <c r="I94" i="27"/>
  <c r="G47" i="27"/>
  <c r="J6" i="9"/>
  <c r="G40" i="27"/>
  <c r="N40" i="27"/>
  <c r="B42" i="27"/>
  <c r="I6" i="9"/>
  <c r="K16" i="27"/>
  <c r="H10" i="9"/>
  <c r="N95" i="27"/>
  <c r="M93" i="27"/>
  <c r="L131" i="27"/>
  <c r="F30" i="27"/>
  <c r="B24" i="27"/>
  <c r="N5" i="27"/>
  <c r="M78" i="27"/>
  <c r="H114" i="27"/>
  <c r="M42" i="27"/>
  <c r="E10" i="9"/>
  <c r="C112" i="27"/>
  <c r="F113" i="27"/>
  <c r="B9" i="27"/>
  <c r="E29" i="27"/>
  <c r="E137" i="27"/>
  <c r="E131" i="27"/>
  <c r="I59" i="27"/>
  <c r="K104" i="27"/>
  <c r="F49" i="27"/>
  <c r="C87" i="27"/>
  <c r="O28" i="27"/>
  <c r="N85" i="27"/>
  <c r="D48" i="27"/>
  <c r="L81" i="27"/>
  <c r="C111" i="27"/>
  <c r="B27" i="27"/>
  <c r="B87" i="27"/>
  <c r="L42" i="27"/>
  <c r="I21" i="27"/>
  <c r="G132" i="27"/>
  <c r="F116" i="27"/>
  <c r="I111" i="27"/>
  <c r="N140" i="27"/>
  <c r="N67" i="27"/>
  <c r="E78" i="27"/>
  <c r="H83" i="27"/>
  <c r="N131" i="27"/>
  <c r="B14" i="27"/>
  <c r="K26" i="27"/>
  <c r="D46" i="27"/>
  <c r="C27" i="27"/>
  <c r="F104" i="27"/>
  <c r="F118" i="27"/>
  <c r="M66" i="27"/>
  <c r="D136" i="27"/>
  <c r="C22" i="27"/>
  <c r="K45" i="27"/>
  <c r="H59" i="27"/>
  <c r="H104" i="27"/>
  <c r="K97" i="27"/>
  <c r="D118" i="27"/>
  <c r="I96" i="27"/>
  <c r="L63" i="27"/>
  <c r="K130" i="27"/>
  <c r="E100" i="27"/>
  <c r="M70" i="27"/>
  <c r="J8" i="9"/>
  <c r="M75" i="27"/>
  <c r="B100" i="27"/>
  <c r="F15" i="27"/>
  <c r="G139" i="27"/>
  <c r="H123" i="27"/>
  <c r="E49" i="27"/>
  <c r="I82" i="27"/>
  <c r="H46" i="27"/>
  <c r="H100" i="27"/>
  <c r="I118" i="27"/>
  <c r="H64" i="27"/>
  <c r="B112" i="27"/>
  <c r="K139" i="27"/>
  <c r="F9" i="27"/>
  <c r="D10" i="27"/>
  <c r="H80" i="27"/>
  <c r="N104" i="27"/>
  <c r="G104" i="27"/>
  <c r="H97" i="27"/>
  <c r="F102" i="27"/>
  <c r="N113" i="27"/>
  <c r="G88" i="27"/>
  <c r="L33" i="27"/>
  <c r="K106" i="27"/>
  <c r="G6" i="9"/>
  <c r="C8" i="27"/>
  <c r="K41" i="27"/>
  <c r="M82" i="27"/>
  <c r="E115" i="27"/>
  <c r="L52" i="27"/>
  <c r="E7" i="27"/>
  <c r="I70" i="27"/>
  <c r="D87" i="27"/>
  <c r="C115" i="27"/>
  <c r="D12" i="27"/>
  <c r="O44" i="27"/>
  <c r="D103" i="27"/>
  <c r="M57" i="27"/>
  <c r="D8" i="27"/>
  <c r="C123" i="27"/>
  <c r="B83" i="27"/>
  <c r="G14" i="27"/>
  <c r="C23" i="27"/>
  <c r="N83" i="27"/>
  <c r="K82" i="27"/>
  <c r="N130" i="27"/>
  <c r="F34" i="27"/>
  <c r="B117" i="27"/>
  <c r="G116" i="27"/>
  <c r="E113" i="27"/>
  <c r="C81" i="27"/>
  <c r="B86" i="27"/>
  <c r="H133" i="27"/>
  <c r="G106" i="27"/>
  <c r="C25" i="27"/>
  <c r="J136" i="27"/>
  <c r="E8" i="27"/>
  <c r="K3" i="27"/>
  <c r="M28" i="27"/>
  <c r="I123" i="27"/>
  <c r="F27" i="27"/>
  <c r="B101" i="27"/>
  <c r="O87" i="27"/>
  <c r="N32" i="27"/>
  <c r="B129" i="27"/>
  <c r="F51" i="27"/>
  <c r="J46" i="27"/>
  <c r="N132" i="27"/>
  <c r="L120" i="27"/>
  <c r="C138" i="27"/>
  <c r="N135" i="27"/>
  <c r="D139" i="27"/>
  <c r="G102" i="27"/>
  <c r="F79" i="27"/>
  <c r="J101" i="27"/>
  <c r="F93" i="27"/>
  <c r="L132" i="27"/>
  <c r="J60" i="27"/>
  <c r="L24" i="27"/>
  <c r="N63" i="27"/>
  <c r="B98" i="27"/>
  <c r="M86" i="27"/>
  <c r="O46" i="27"/>
  <c r="D99" i="27"/>
  <c r="H50" i="27"/>
  <c r="B51" i="27"/>
  <c r="B106" i="27"/>
  <c r="N7" i="27"/>
  <c r="I16" i="27"/>
  <c r="K4" i="9"/>
  <c r="G136" i="27"/>
  <c r="I49" i="27"/>
  <c r="L98" i="27"/>
  <c r="G6" i="27"/>
  <c r="D100" i="27"/>
  <c r="C7" i="9"/>
  <c r="C8" i="9"/>
  <c r="O13" i="27"/>
  <c r="F97" i="27"/>
  <c r="H27" i="27"/>
  <c r="J84" i="27"/>
  <c r="L115" i="27"/>
  <c r="O131" i="27"/>
  <c r="D117" i="27"/>
  <c r="I81" i="27"/>
  <c r="F115" i="27"/>
  <c r="I31" i="27"/>
  <c r="G24" i="27"/>
  <c r="D34" i="27"/>
  <c r="I133" i="27"/>
  <c r="N60" i="27"/>
  <c r="H23" i="27"/>
  <c r="L66" i="27"/>
  <c r="O27" i="27"/>
  <c r="J114" i="27"/>
  <c r="B58" i="27"/>
  <c r="F7" i="9"/>
  <c r="C13" i="27"/>
  <c r="I85" i="27"/>
  <c r="D86" i="27"/>
  <c r="J44" i="27"/>
  <c r="B142" i="27"/>
  <c r="G121" i="27"/>
  <c r="B50" i="27"/>
  <c r="H7" i="27"/>
  <c r="D76" i="27"/>
  <c r="M22" i="27"/>
  <c r="O30" i="27"/>
  <c r="N28" i="27"/>
  <c r="J99" i="27"/>
  <c r="E111" i="27"/>
  <c r="G52" i="27"/>
  <c r="O104" i="27"/>
  <c r="J31" i="27"/>
  <c r="E62" i="27"/>
  <c r="O116" i="27"/>
  <c r="J68" i="27"/>
  <c r="M102" i="27"/>
  <c r="M50" i="27"/>
  <c r="D33" i="27"/>
  <c r="O134" i="27"/>
  <c r="L14" i="27"/>
  <c r="L87" i="27"/>
  <c r="O29" i="27"/>
  <c r="F13" i="27"/>
  <c r="B88" i="27"/>
  <c r="M135" i="27"/>
  <c r="F131" i="27"/>
  <c r="K141" i="27"/>
  <c r="G98" i="27"/>
  <c r="M61" i="27"/>
  <c r="E51" i="27"/>
  <c r="K34" i="27"/>
  <c r="H30" i="27"/>
  <c r="J83" i="27"/>
  <c r="H102" i="27"/>
  <c r="C52" i="27"/>
  <c r="M122" i="27"/>
  <c r="H124" i="27"/>
  <c r="M117" i="27"/>
  <c r="D102" i="27"/>
  <c r="O51" i="27"/>
  <c r="H132" i="27"/>
  <c r="I140" i="27"/>
  <c r="C105" i="27"/>
  <c r="G64" i="27"/>
  <c r="N138" i="27"/>
  <c r="C134" i="27"/>
  <c r="K140" i="27"/>
  <c r="J95" i="27"/>
  <c r="H10" i="27"/>
  <c r="B123" i="27"/>
  <c r="M111" i="27"/>
  <c r="K102" i="27"/>
  <c r="N13" i="27"/>
  <c r="L58" i="27"/>
  <c r="E112" i="27"/>
  <c r="O132" i="27"/>
  <c r="I116" i="27"/>
  <c r="I34" i="27"/>
  <c r="L8" i="27"/>
  <c r="F59" i="27"/>
  <c r="N80" i="27"/>
  <c r="E65" i="27"/>
  <c r="J66" i="27"/>
  <c r="L6" i="27"/>
  <c r="J5" i="27"/>
  <c r="L26" i="27"/>
  <c r="B76" i="27"/>
  <c r="H106" i="27"/>
  <c r="B133" i="27"/>
  <c r="G105" i="27"/>
  <c r="M39" i="27"/>
  <c r="B103" i="27"/>
  <c r="E43" i="27"/>
  <c r="G68" i="27"/>
  <c r="L112" i="27"/>
  <c r="E13" i="27"/>
  <c r="H60" i="27"/>
  <c r="D64" i="27"/>
  <c r="H8" i="27"/>
  <c r="L64" i="27"/>
  <c r="L48" i="27"/>
  <c r="F65" i="27"/>
  <c r="M87" i="27"/>
  <c r="E11" i="27"/>
  <c r="D93" i="27"/>
  <c r="G23" i="27"/>
  <c r="L34" i="27"/>
  <c r="D122" i="27"/>
  <c r="H49" i="27"/>
  <c r="M106" i="27"/>
  <c r="F8" i="9"/>
  <c r="K78" i="27"/>
  <c r="N99" i="27"/>
  <c r="L118" i="27"/>
  <c r="I105" i="27"/>
  <c r="D5" i="27"/>
  <c r="J75" i="27"/>
  <c r="L86" i="27"/>
  <c r="G99" i="27"/>
  <c r="N124" i="27"/>
  <c r="C21" i="27"/>
  <c r="J118" i="27"/>
  <c r="D28" i="27"/>
  <c r="C100" i="27"/>
  <c r="I47" i="27"/>
  <c r="J140" i="27"/>
  <c r="E24" i="27"/>
  <c r="M14" i="27"/>
  <c r="H79" i="27"/>
  <c r="N116" i="27"/>
  <c r="C102" i="27"/>
  <c r="D50" i="27"/>
  <c r="L93" i="27"/>
  <c r="L133" i="27"/>
  <c r="N82" i="27"/>
  <c r="J119" i="27"/>
  <c r="O96" i="27"/>
  <c r="F68" i="27"/>
  <c r="E6" i="27"/>
  <c r="C124" i="27"/>
  <c r="H70" i="27"/>
  <c r="C6" i="9"/>
  <c r="N15" i="27"/>
  <c r="N34" i="27"/>
  <c r="O84" i="27"/>
  <c r="M98" i="27"/>
  <c r="M138" i="27"/>
  <c r="I48" i="27"/>
  <c r="G22" i="27"/>
  <c r="K28" i="27"/>
  <c r="O117" i="27"/>
  <c r="B140" i="27"/>
  <c r="G8" i="9"/>
  <c r="G7" i="27"/>
  <c r="C86" i="27"/>
  <c r="O88" i="27"/>
  <c r="O48" i="27"/>
  <c r="H84" i="27"/>
  <c r="O58" i="27"/>
  <c r="C114" i="27"/>
  <c r="L10" i="27"/>
  <c r="O75" i="27"/>
  <c r="G131" i="27"/>
  <c r="J130" i="27"/>
  <c r="G123" i="27"/>
  <c r="K57" i="27"/>
  <c r="E8" i="9"/>
  <c r="F140" i="27"/>
  <c r="D9" i="27"/>
  <c r="C137" i="27"/>
  <c r="F124" i="27"/>
  <c r="F5" i="27"/>
  <c r="L84" i="27"/>
  <c r="E64" i="27"/>
  <c r="F10" i="9"/>
  <c r="M43" i="27"/>
  <c r="K94" i="27"/>
  <c r="H76" i="27"/>
  <c r="G134" i="27"/>
  <c r="C76" i="27"/>
  <c r="F134" i="27"/>
  <c r="N52" i="27"/>
  <c r="K67" i="27"/>
  <c r="O42" i="27"/>
  <c r="H12" i="27"/>
  <c r="I113" i="27"/>
  <c r="H121" i="27"/>
  <c r="O66" i="27"/>
  <c r="F130" i="27"/>
  <c r="K31" i="27"/>
  <c r="N122" i="27"/>
  <c r="F8" i="27"/>
  <c r="I44" i="27"/>
  <c r="B60" i="27"/>
  <c r="F52" i="27"/>
  <c r="K8" i="9"/>
  <c r="I136" i="27"/>
  <c r="O82" i="27"/>
  <c r="B78" i="27"/>
  <c r="O123" i="27"/>
  <c r="D119" i="27"/>
  <c r="B12" i="27"/>
  <c r="J48" i="27"/>
  <c r="O60" i="27"/>
  <c r="G11" i="9"/>
  <c r="G57" i="27"/>
  <c r="N81" i="27"/>
  <c r="B124" i="27"/>
  <c r="D6" i="9"/>
  <c r="O22" i="27"/>
  <c r="C14" i="27"/>
  <c r="O61" i="27"/>
  <c r="C97" i="27"/>
  <c r="J104" i="27"/>
  <c r="I124" i="27"/>
  <c r="N9" i="27"/>
  <c r="M46" i="27"/>
  <c r="I114" i="27"/>
  <c r="H142" i="27"/>
  <c r="M88" i="27"/>
  <c r="O16" i="27"/>
  <c r="F75" i="27"/>
  <c r="J122" i="27"/>
  <c r="N118" i="27"/>
  <c r="H112" i="27"/>
  <c r="H113" i="27"/>
  <c r="G115" i="27"/>
  <c r="J69" i="27"/>
  <c r="M80" i="27"/>
  <c r="D5" i="9"/>
  <c r="K132" i="27"/>
  <c r="F4" i="27"/>
  <c r="H87" i="27"/>
  <c r="H139" i="27"/>
  <c r="G4" i="9"/>
  <c r="L103" i="27"/>
  <c r="E23" i="27"/>
  <c r="F95" i="27"/>
  <c r="I112" i="27"/>
  <c r="D101" i="27"/>
  <c r="J80" i="27"/>
  <c r="K81" i="27"/>
  <c r="D4" i="9"/>
  <c r="E5" i="27"/>
  <c r="N119" i="27"/>
  <c r="E10" i="27"/>
  <c r="I28" i="27"/>
  <c r="K7" i="9"/>
  <c r="E129" i="27"/>
  <c r="N48" i="27"/>
  <c r="M133" i="27"/>
  <c r="L39" i="27"/>
  <c r="O105" i="27"/>
  <c r="I100" i="27"/>
  <c r="J86" i="27"/>
  <c r="F62" i="27"/>
  <c r="I115" i="27"/>
  <c r="E25" i="27"/>
  <c r="I102" i="27"/>
  <c r="O121" i="27"/>
  <c r="L140" i="27"/>
  <c r="O7" i="27"/>
  <c r="D85" i="27"/>
  <c r="L43" i="27"/>
  <c r="F123" i="27"/>
  <c r="H5" i="9"/>
  <c r="H4" i="27"/>
  <c r="L51" i="27"/>
  <c r="K9" i="9"/>
  <c r="B141" i="27"/>
  <c r="G39" i="27"/>
  <c r="N41" i="27"/>
  <c r="I41" i="27"/>
  <c r="M8" i="27"/>
  <c r="O67" i="27"/>
  <c r="B113" i="27"/>
  <c r="O80" i="27"/>
  <c r="J132" i="27"/>
  <c r="K27" i="27"/>
  <c r="E45" i="27"/>
  <c r="B33" i="27"/>
  <c r="F22" i="27"/>
  <c r="D42" i="27"/>
  <c r="H119" i="27"/>
  <c r="G87" i="27"/>
  <c r="F14" i="27"/>
  <c r="D104" i="27"/>
  <c r="H93" i="27"/>
  <c r="B8" i="27"/>
  <c r="C50" i="27"/>
  <c r="F121" i="27"/>
  <c r="J4" i="9"/>
  <c r="B116" i="27"/>
  <c r="C59" i="27"/>
  <c r="N78" i="27"/>
  <c r="E59" i="27"/>
  <c r="H98" i="27"/>
  <c r="E93" i="27"/>
  <c r="O6" i="27"/>
  <c r="I23" i="27"/>
  <c r="H33" i="27"/>
  <c r="E124" i="27"/>
  <c r="O139" i="27"/>
  <c r="D11" i="27"/>
  <c r="G49" i="27"/>
  <c r="I117" i="27"/>
  <c r="B93" i="27"/>
  <c r="K60" i="27"/>
  <c r="E77" i="27"/>
  <c r="F81" i="27"/>
  <c r="G5" i="27"/>
  <c r="B105" i="27"/>
  <c r="I129" i="27"/>
  <c r="F67" i="27"/>
  <c r="N22" i="27"/>
  <c r="K33" i="27"/>
  <c r="O14" i="27"/>
  <c r="M31" i="27"/>
  <c r="F23" i="27"/>
  <c r="C77" i="27"/>
  <c r="F70" i="27"/>
  <c r="B43" i="27"/>
  <c r="M63" i="27"/>
  <c r="D133" i="27"/>
  <c r="J88" i="27"/>
  <c r="K93" i="27"/>
  <c r="I26" i="27"/>
  <c r="I86" i="27"/>
  <c r="B25" i="27"/>
  <c r="E46" i="27"/>
  <c r="K85" i="27"/>
  <c r="L88" i="27"/>
  <c r="M81" i="27"/>
  <c r="B96" i="27"/>
  <c r="E16" i="27"/>
  <c r="F33" i="27"/>
  <c r="E134" i="27"/>
  <c r="C58" i="27"/>
  <c r="D25" i="27"/>
  <c r="G79" i="27"/>
  <c r="G44" i="27"/>
  <c r="I88" i="27"/>
  <c r="D120" i="27"/>
  <c r="M76" i="27"/>
  <c r="M62" i="27"/>
  <c r="D105" i="27"/>
  <c r="D41" i="27"/>
  <c r="K111" i="27"/>
  <c r="G30" i="27"/>
  <c r="K42" i="27"/>
  <c r="H140" i="27"/>
  <c r="M136" i="27"/>
  <c r="H77" i="27"/>
  <c r="E61" i="27"/>
  <c r="F141" i="27"/>
  <c r="G50" i="27"/>
  <c r="D78" i="27"/>
  <c r="J134" i="27"/>
  <c r="F48" i="27"/>
  <c r="K52" i="27"/>
  <c r="E52" i="27"/>
  <c r="G8" i="27"/>
  <c r="L106" i="27"/>
  <c r="C43" i="27"/>
  <c r="J138" i="27"/>
  <c r="J105" i="27"/>
  <c r="H138" i="27"/>
  <c r="H81" i="27"/>
  <c r="E85" i="27"/>
  <c r="I62" i="27"/>
  <c r="D124" i="27"/>
  <c r="J59" i="27"/>
  <c r="C121" i="27"/>
  <c r="L94" i="27"/>
  <c r="F135" i="27"/>
  <c r="C129" i="27"/>
  <c r="E132" i="27"/>
  <c r="J25" i="27"/>
  <c r="C83" i="27"/>
  <c r="L136" i="27"/>
  <c r="N14" i="27"/>
  <c r="D26" i="27"/>
  <c r="I9" i="27"/>
  <c r="K98" i="27"/>
  <c r="K136" i="27"/>
  <c r="O94" i="27"/>
  <c r="D111" i="27"/>
  <c r="J3" i="27"/>
  <c r="J112" i="27"/>
  <c r="M84" i="27"/>
  <c r="E94" i="27"/>
  <c r="E139" i="27"/>
  <c r="K32" i="27"/>
  <c r="D62" i="27"/>
  <c r="J8" i="27"/>
  <c r="K70" i="27"/>
  <c r="N133" i="27"/>
  <c r="C95" i="27"/>
  <c r="G70" i="27"/>
  <c r="H99" i="27"/>
  <c r="J17" i="27" l="1"/>
  <c r="D125" i="27"/>
  <c r="C143" i="27"/>
  <c r="K125" i="27"/>
  <c r="Q96" i="27"/>
  <c r="V24" i="27" s="1"/>
  <c r="P96" i="27"/>
  <c r="P25" i="27"/>
  <c r="Q25" i="27"/>
  <c r="K107" i="27"/>
  <c r="Q43" i="27"/>
  <c r="P43" i="27"/>
  <c r="I143" i="27"/>
  <c r="P105" i="27"/>
  <c r="Q105" i="27"/>
  <c r="V33" i="27" s="1"/>
  <c r="P108" i="27"/>
  <c r="T7" i="27" s="1"/>
  <c r="P93" i="27"/>
  <c r="Q93" i="27"/>
  <c r="V21" i="27" s="1"/>
  <c r="B107" i="27"/>
  <c r="E107" i="27"/>
  <c r="Q116" i="27"/>
  <c r="W26" i="27" s="1"/>
  <c r="W42" i="27" s="1"/>
  <c r="P116" i="27"/>
  <c r="J12" i="9"/>
  <c r="J15" i="9"/>
  <c r="Q8" i="27"/>
  <c r="P8" i="27"/>
  <c r="H107" i="27"/>
  <c r="Q33" i="27"/>
  <c r="P33" i="27"/>
  <c r="P113" i="27"/>
  <c r="Q113" i="27"/>
  <c r="W23" i="27" s="1"/>
  <c r="G53" i="27"/>
  <c r="P141" i="27"/>
  <c r="Q141" i="27"/>
  <c r="K17" i="9"/>
  <c r="L53" i="27"/>
  <c r="E143" i="27"/>
  <c r="K16" i="9"/>
  <c r="D15" i="9"/>
  <c r="D12" i="9"/>
  <c r="G12" i="9"/>
  <c r="G15" i="9"/>
  <c r="F89" i="27"/>
  <c r="P124" i="27"/>
  <c r="Q124" i="27"/>
  <c r="W34" i="27" s="1"/>
  <c r="G71" i="27"/>
  <c r="Q12" i="27"/>
  <c r="P12" i="27"/>
  <c r="Q78" i="27"/>
  <c r="P78" i="27"/>
  <c r="Q60" i="27"/>
  <c r="P60" i="27"/>
  <c r="F18" i="9"/>
  <c r="K71" i="27"/>
  <c r="O89" i="27"/>
  <c r="P140" i="27"/>
  <c r="Q140" i="27"/>
  <c r="M6" i="9"/>
  <c r="L107" i="27"/>
  <c r="C35" i="27"/>
  <c r="J89" i="27"/>
  <c r="D107" i="27"/>
  <c r="Q103" i="27"/>
  <c r="V31" i="27" s="1"/>
  <c r="V45" i="27" s="1"/>
  <c r="P103" i="27"/>
  <c r="M53" i="27"/>
  <c r="P133" i="27"/>
  <c r="Q133" i="27"/>
  <c r="Q76" i="27"/>
  <c r="P76" i="27"/>
  <c r="M125" i="27"/>
  <c r="Q123" i="27"/>
  <c r="W33" i="27" s="1"/>
  <c r="P123" i="27"/>
  <c r="P88" i="27"/>
  <c r="Q88" i="27"/>
  <c r="E125" i="27"/>
  <c r="Q50" i="27"/>
  <c r="P50" i="27"/>
  <c r="P142" i="27"/>
  <c r="Q142" i="27"/>
  <c r="F16" i="9"/>
  <c r="P58" i="27"/>
  <c r="Q58" i="27"/>
  <c r="M8" i="9"/>
  <c r="C16" i="9"/>
  <c r="M7" i="9"/>
  <c r="K15" i="9"/>
  <c r="K12" i="9"/>
  <c r="P106" i="27"/>
  <c r="Q106" i="27"/>
  <c r="V34" i="27" s="1"/>
  <c r="Q51" i="27"/>
  <c r="P51" i="27"/>
  <c r="Q98" i="27"/>
  <c r="V26" i="27" s="1"/>
  <c r="V42" i="27" s="1"/>
  <c r="P98" i="27"/>
  <c r="F107" i="27"/>
  <c r="Q129" i="27"/>
  <c r="P144" i="27"/>
  <c r="T9" i="27" s="1"/>
  <c r="B143" i="27"/>
  <c r="P129" i="27"/>
  <c r="Q101" i="27"/>
  <c r="V29" i="27" s="1"/>
  <c r="P101" i="27"/>
  <c r="K17" i="27"/>
  <c r="P86" i="27"/>
  <c r="Q86" i="27"/>
  <c r="Q117" i="27"/>
  <c r="W27" i="27" s="1"/>
  <c r="P117" i="27"/>
  <c r="Q83" i="27"/>
  <c r="P83" i="27"/>
  <c r="M71" i="27"/>
  <c r="Q112" i="27"/>
  <c r="W22" i="27" s="1"/>
  <c r="P112" i="27"/>
  <c r="P100" i="27"/>
  <c r="Q100" i="27"/>
  <c r="V28" i="27" s="1"/>
  <c r="M89" i="27"/>
  <c r="Q14" i="27"/>
  <c r="P14" i="27"/>
  <c r="I125" i="27"/>
  <c r="I35" i="27"/>
  <c r="P87" i="27"/>
  <c r="Q87" i="27"/>
  <c r="P27" i="27"/>
  <c r="Q27" i="27"/>
  <c r="C125" i="27"/>
  <c r="Q9" i="27"/>
  <c r="P9" i="27"/>
  <c r="E18" i="9"/>
  <c r="Q24" i="27"/>
  <c r="P24" i="27"/>
  <c r="M107" i="27"/>
  <c r="H18" i="9"/>
  <c r="P42" i="27"/>
  <c r="Q42" i="27"/>
  <c r="F143" i="27"/>
  <c r="P59" i="27"/>
  <c r="Q59" i="27"/>
  <c r="G16" i="9"/>
  <c r="P5" i="27"/>
  <c r="Q5" i="27"/>
  <c r="O17" i="27"/>
  <c r="Q137" i="27"/>
  <c r="P137" i="27"/>
  <c r="Q122" i="27"/>
  <c r="W32" i="27" s="1"/>
  <c r="W46" i="27" s="1"/>
  <c r="P122" i="27"/>
  <c r="C17" i="27"/>
  <c r="M11" i="9"/>
  <c r="P22" i="27"/>
  <c r="Q22" i="27"/>
  <c r="Q138" i="27"/>
  <c r="P138" i="27"/>
  <c r="E16" i="9"/>
  <c r="N71" i="27"/>
  <c r="K53" i="27"/>
  <c r="Q67" i="27"/>
  <c r="P67" i="27"/>
  <c r="Q34" i="27"/>
  <c r="P34" i="27"/>
  <c r="Q48" i="27"/>
  <c r="P48" i="27"/>
  <c r="F17" i="27"/>
  <c r="Q81" i="27"/>
  <c r="P81" i="27"/>
  <c r="L17" i="27"/>
  <c r="E89" i="27"/>
  <c r="Q57" i="27"/>
  <c r="P57" i="27"/>
  <c r="P72" i="27"/>
  <c r="T5" i="27" s="1"/>
  <c r="B71" i="27"/>
  <c r="F17" i="9"/>
  <c r="Q135" i="27"/>
  <c r="P135" i="27"/>
  <c r="E71" i="27"/>
  <c r="Q69" i="27"/>
  <c r="P69" i="27"/>
  <c r="Q45" i="27"/>
  <c r="P45" i="27"/>
  <c r="Q7" i="27"/>
  <c r="P7" i="27"/>
  <c r="I12" i="9"/>
  <c r="I15" i="9"/>
  <c r="O143" i="27"/>
  <c r="P3" i="27"/>
  <c r="B17" i="27"/>
  <c r="Q3" i="27"/>
  <c r="P18" i="27"/>
  <c r="T2" i="27" s="1"/>
  <c r="H35" i="27"/>
  <c r="J35" i="27"/>
  <c r="Q16" i="27"/>
  <c r="P16" i="27"/>
  <c r="Q139" i="27"/>
  <c r="P139" i="27"/>
  <c r="O35" i="27"/>
  <c r="M143" i="27"/>
  <c r="L71" i="27"/>
  <c r="G17" i="9"/>
  <c r="M35" i="27"/>
  <c r="P114" i="27"/>
  <c r="Q114" i="27"/>
  <c r="W24" i="27" s="1"/>
  <c r="O107" i="27"/>
  <c r="L35" i="27"/>
  <c r="O125" i="27"/>
  <c r="J143" i="27"/>
  <c r="K35" i="27"/>
  <c r="P28" i="27"/>
  <c r="Q28" i="27"/>
  <c r="J18" i="9"/>
  <c r="P77" i="27"/>
  <c r="Q77" i="27"/>
  <c r="L89" i="27"/>
  <c r="E35" i="27"/>
  <c r="Q119" i="27"/>
  <c r="W29" i="27" s="1"/>
  <c r="P119" i="27"/>
  <c r="P102" i="27"/>
  <c r="Q102" i="27"/>
  <c r="V30" i="27" s="1"/>
  <c r="I16" i="9"/>
  <c r="I89" i="27"/>
  <c r="P104" i="27"/>
  <c r="Q104" i="27"/>
  <c r="V32" i="27" s="1"/>
  <c r="V46" i="27" s="1"/>
  <c r="Q6" i="27"/>
  <c r="P6" i="27"/>
  <c r="D89" i="27"/>
  <c r="Q85" i="27"/>
  <c r="P85" i="27"/>
  <c r="F15" i="9"/>
  <c r="F12" i="9"/>
  <c r="Q26" i="27"/>
  <c r="P26" i="27"/>
  <c r="D17" i="27"/>
  <c r="D143" i="27"/>
  <c r="H17" i="9"/>
  <c r="Q11" i="27"/>
  <c r="P11" i="27"/>
  <c r="Q52" i="27"/>
  <c r="P52" i="27"/>
  <c r="G18" i="9"/>
  <c r="N17" i="27"/>
  <c r="J53" i="27"/>
  <c r="F71" i="27"/>
  <c r="O71" i="27"/>
  <c r="M17" i="27"/>
  <c r="P32" i="27"/>
  <c r="Q32" i="27"/>
  <c r="J16" i="9"/>
  <c r="Q68" i="27"/>
  <c r="P68" i="27"/>
  <c r="P130" i="27"/>
  <c r="Q130" i="27"/>
  <c r="E17" i="27"/>
  <c r="C53" i="27"/>
  <c r="P95" i="27"/>
  <c r="Q95" i="27"/>
  <c r="V23" i="27" s="1"/>
  <c r="H71" i="27"/>
  <c r="H53" i="27"/>
  <c r="C17" i="9"/>
  <c r="M9" i="9"/>
  <c r="Q61" i="27"/>
  <c r="P61" i="27"/>
  <c r="N125" i="27"/>
  <c r="L143" i="27"/>
  <c r="F53" i="27"/>
  <c r="C89" i="27"/>
  <c r="I71" i="27"/>
  <c r="E12" i="9"/>
  <c r="E15" i="9"/>
  <c r="Q79" i="27"/>
  <c r="P79" i="27"/>
  <c r="K143" i="27"/>
  <c r="P94" i="27"/>
  <c r="Q94" i="27"/>
  <c r="V22" i="27" s="1"/>
  <c r="Q84" i="27"/>
  <c r="P84" i="27"/>
  <c r="P97" i="27"/>
  <c r="Q97" i="27"/>
  <c r="V25" i="27" s="1"/>
  <c r="V41" i="27" s="1"/>
  <c r="H16" i="9"/>
  <c r="Q44" i="27"/>
  <c r="P44" i="27"/>
  <c r="P30" i="27"/>
  <c r="Q30" i="27"/>
  <c r="P121" i="27"/>
  <c r="Q121" i="27"/>
  <c r="W31" i="27" s="1"/>
  <c r="W45" i="27" s="1"/>
  <c r="G35" i="27"/>
  <c r="P131" i="27"/>
  <c r="Q131" i="27"/>
  <c r="G143" i="27"/>
  <c r="H143" i="27"/>
  <c r="P64" i="27"/>
  <c r="Q64" i="27"/>
  <c r="K18" i="9"/>
  <c r="F125" i="27"/>
  <c r="F35" i="27"/>
  <c r="P66" i="27"/>
  <c r="Q66" i="27"/>
  <c r="N53" i="27"/>
  <c r="C107" i="27"/>
  <c r="Q62" i="27"/>
  <c r="P62" i="27"/>
  <c r="Q13" i="27"/>
  <c r="P13" i="27"/>
  <c r="N107" i="27"/>
  <c r="G107" i="27"/>
  <c r="M5" i="9"/>
  <c r="G125" i="27"/>
  <c r="Q118" i="27"/>
  <c r="W28" i="27" s="1"/>
  <c r="P118" i="27"/>
  <c r="D35" i="27"/>
  <c r="P111" i="27"/>
  <c r="B125" i="27"/>
  <c r="P126" i="27"/>
  <c r="T8" i="27" s="1"/>
  <c r="Q111" i="27"/>
  <c r="W21" i="27" s="1"/>
  <c r="E17" i="9"/>
  <c r="D18" i="9"/>
  <c r="P4" i="27"/>
  <c r="Q4" i="27"/>
  <c r="B53" i="27"/>
  <c r="P39" i="27"/>
  <c r="P54" i="27"/>
  <c r="T4" i="27" s="1"/>
  <c r="Q39" i="27"/>
  <c r="Q29" i="27"/>
  <c r="P29" i="27"/>
  <c r="H12" i="9"/>
  <c r="H15" i="9"/>
  <c r="P40" i="27"/>
  <c r="Q40" i="27"/>
  <c r="Q134" i="27"/>
  <c r="P134" i="27"/>
  <c r="Q120" i="27"/>
  <c r="W30" i="27" s="1"/>
  <c r="P120" i="27"/>
  <c r="J17" i="9"/>
  <c r="I17" i="9"/>
  <c r="Q49" i="27"/>
  <c r="P49" i="27"/>
  <c r="C12" i="9"/>
  <c r="C15" i="9"/>
  <c r="M4" i="9"/>
  <c r="I18" i="9"/>
  <c r="J107" i="27"/>
  <c r="Q23" i="27"/>
  <c r="P23" i="27"/>
  <c r="I107" i="27"/>
  <c r="P136" i="27"/>
  <c r="Q136" i="27"/>
  <c r="P41" i="27"/>
  <c r="Q41" i="27"/>
  <c r="Q115" i="27"/>
  <c r="W25" i="27" s="1"/>
  <c r="W41" i="27" s="1"/>
  <c r="P115" i="27"/>
  <c r="D53" i="27"/>
  <c r="P10" i="27"/>
  <c r="Q10" i="27"/>
  <c r="E53" i="27"/>
  <c r="D17" i="9"/>
  <c r="Q47" i="27"/>
  <c r="P47" i="27"/>
  <c r="Q99" i="27"/>
  <c r="V27" i="27" s="1"/>
  <c r="P99" i="27"/>
  <c r="G17" i="27"/>
  <c r="K89" i="27"/>
  <c r="J125" i="27"/>
  <c r="P82" i="27"/>
  <c r="Q82" i="27"/>
  <c r="Q21" i="27"/>
  <c r="B35" i="27"/>
  <c r="P21" i="27"/>
  <c r="P36" i="27"/>
  <c r="T3" i="27" s="1"/>
  <c r="D16" i="9"/>
  <c r="C18" i="9"/>
  <c r="M10" i="9"/>
  <c r="N35" i="27"/>
  <c r="Q63" i="27"/>
  <c r="P63" i="27"/>
  <c r="P31" i="27"/>
  <c r="Q31" i="27"/>
  <c r="C71" i="27"/>
  <c r="N89" i="27"/>
  <c r="H17" i="27"/>
  <c r="Q65" i="27"/>
  <c r="U29" i="27" s="1"/>
  <c r="P65" i="27"/>
  <c r="P15" i="27"/>
  <c r="Q15" i="27"/>
  <c r="J71" i="27"/>
  <c r="N143" i="27"/>
  <c r="Q132" i="27"/>
  <c r="P132" i="27"/>
  <c r="G89" i="27"/>
  <c r="P46" i="27"/>
  <c r="Q46" i="27"/>
  <c r="D71" i="27"/>
  <c r="Q75" i="27"/>
  <c r="P75" i="27"/>
  <c r="P90" i="27"/>
  <c r="T6" i="27" s="1"/>
  <c r="B89" i="27"/>
  <c r="I53" i="27"/>
  <c r="H89" i="27"/>
  <c r="H125" i="27"/>
  <c r="O53" i="27"/>
  <c r="I17" i="27"/>
  <c r="L125" i="27"/>
  <c r="P70" i="27"/>
  <c r="Q70" i="27"/>
  <c r="U34" i="27" s="1"/>
  <c r="Q80" i="27"/>
  <c r="P80" i="27"/>
  <c r="E19" i="9" l="1"/>
  <c r="E22" i="9" s="1"/>
  <c r="V43" i="27"/>
  <c r="T25" i="27"/>
  <c r="T41" i="27" s="1"/>
  <c r="N9" i="9"/>
  <c r="T22" i="27"/>
  <c r="T31" i="27"/>
  <c r="T45" i="27" s="1"/>
  <c r="W47" i="27"/>
  <c r="T30" i="27"/>
  <c r="W40" i="27"/>
  <c r="V47" i="27"/>
  <c r="M18" i="9"/>
  <c r="T29" i="27"/>
  <c r="Q17" i="27"/>
  <c r="P17" i="27"/>
  <c r="S2" i="27" s="1"/>
  <c r="N7" i="9"/>
  <c r="Q89" i="27"/>
  <c r="P89" i="27"/>
  <c r="S6" i="27" s="1"/>
  <c r="M17" i="9"/>
  <c r="V40" i="27"/>
  <c r="T24" i="27"/>
  <c r="W44" i="27"/>
  <c r="T23" i="27"/>
  <c r="T40" i="27" s="1"/>
  <c r="Q143" i="27"/>
  <c r="P143" i="27"/>
  <c r="S9" i="27" s="1"/>
  <c r="T26" i="27"/>
  <c r="T42" i="27" s="1"/>
  <c r="H19" i="9"/>
  <c r="H24" i="9" s="1"/>
  <c r="H22" i="9"/>
  <c r="Q71" i="27"/>
  <c r="P71" i="27"/>
  <c r="S5" i="27" s="1"/>
  <c r="K19" i="9"/>
  <c r="K22" i="9" s="1"/>
  <c r="M12" i="9"/>
  <c r="N4" i="9"/>
  <c r="N16" i="9"/>
  <c r="P125" i="27"/>
  <c r="S8" i="27" s="1"/>
  <c r="Q125" i="27"/>
  <c r="T33" i="27"/>
  <c r="P53" i="27"/>
  <c r="S4" i="27" s="1"/>
  <c r="Q53" i="27"/>
  <c r="H23" i="9"/>
  <c r="U31" i="27"/>
  <c r="U45" i="27" s="1"/>
  <c r="N11" i="9"/>
  <c r="W43" i="27"/>
  <c r="J19" i="9"/>
  <c r="J24" i="9" s="1"/>
  <c r="U27" i="27"/>
  <c r="U25" i="27"/>
  <c r="U41" i="27" s="1"/>
  <c r="X41" i="27" s="1"/>
  <c r="F19" i="9"/>
  <c r="F24" i="9" s="1"/>
  <c r="T21" i="27"/>
  <c r="U23" i="27"/>
  <c r="U28" i="27"/>
  <c r="E25" i="9"/>
  <c r="N18" i="9"/>
  <c r="N15" i="9"/>
  <c r="C19" i="9"/>
  <c r="C25" i="9" s="1"/>
  <c r="W39" i="27"/>
  <c r="W35" i="27"/>
  <c r="N5" i="9"/>
  <c r="U33" i="27"/>
  <c r="U47" i="27" s="1"/>
  <c r="U21" i="27"/>
  <c r="T27" i="27"/>
  <c r="V44" i="27"/>
  <c r="N8" i="9"/>
  <c r="U24" i="27"/>
  <c r="P107" i="27"/>
  <c r="S7" i="27" s="1"/>
  <c r="Q107" i="27"/>
  <c r="P35" i="27"/>
  <c r="S3" i="27" s="1"/>
  <c r="Q35" i="27"/>
  <c r="M15" i="9"/>
  <c r="D19" i="9"/>
  <c r="D22" i="9" s="1"/>
  <c r="U26" i="27"/>
  <c r="U42" i="27" s="1"/>
  <c r="N10" i="9"/>
  <c r="E24" i="9"/>
  <c r="N17" i="9"/>
  <c r="M16" i="9"/>
  <c r="T28" i="27"/>
  <c r="U30" i="27"/>
  <c r="U44" i="27" s="1"/>
  <c r="U32" i="27"/>
  <c r="U46" i="27" s="1"/>
  <c r="T34" i="27"/>
  <c r="I19" i="9"/>
  <c r="I23" i="9" s="1"/>
  <c r="T32" i="27"/>
  <c r="T46" i="27" s="1"/>
  <c r="U22" i="27"/>
  <c r="N6" i="9"/>
  <c r="G19" i="9"/>
  <c r="G25" i="9" s="1"/>
  <c r="G22" i="9"/>
  <c r="V39" i="27"/>
  <c r="V35" i="27"/>
  <c r="E23" i="9" l="1"/>
  <c r="K23" i="9"/>
  <c r="X45" i="27"/>
  <c r="U43" i="27"/>
  <c r="I22" i="9"/>
  <c r="C23" i="9"/>
  <c r="T44" i="27"/>
  <c r="X44" i="27" s="1"/>
  <c r="C22" i="9"/>
  <c r="F22" i="9"/>
  <c r="T47" i="27"/>
  <c r="X47" i="27" s="1"/>
  <c r="C24" i="9"/>
  <c r="H25" i="9"/>
  <c r="D24" i="9"/>
  <c r="D25" i="9"/>
  <c r="T43" i="27"/>
  <c r="X43" i="27" s="1"/>
  <c r="F23" i="9"/>
  <c r="F25" i="9"/>
  <c r="N19" i="9"/>
  <c r="N25" i="9" s="1"/>
  <c r="J23" i="9"/>
  <c r="N24" i="9"/>
  <c r="V48" i="27"/>
  <c r="V49" i="27"/>
  <c r="K25" i="9"/>
  <c r="X42" i="27"/>
  <c r="K24" i="9"/>
  <c r="W49" i="27"/>
  <c r="W48" i="27"/>
  <c r="J25" i="9"/>
  <c r="G24" i="9"/>
  <c r="G23" i="9"/>
  <c r="D23" i="9"/>
  <c r="M19" i="9"/>
  <c r="M24" i="9" s="1"/>
  <c r="U40" i="27"/>
  <c r="X40" i="27" s="1"/>
  <c r="X46" i="27"/>
  <c r="I24" i="9"/>
  <c r="T39" i="27"/>
  <c r="T35" i="27"/>
  <c r="J22" i="9"/>
  <c r="U35" i="27"/>
  <c r="U39" i="27"/>
  <c r="I25" i="9"/>
  <c r="M22" i="9" l="1"/>
  <c r="N23" i="9"/>
  <c r="N22" i="9"/>
  <c r="U48" i="27"/>
  <c r="U49" i="27"/>
  <c r="X39" i="27"/>
  <c r="T48" i="27"/>
  <c r="T49" i="27"/>
  <c r="M25" i="9"/>
  <c r="M23" i="9"/>
  <c r="X49" i="27" l="1"/>
  <c r="X48" i="27"/>
</calcChain>
</file>

<file path=xl/sharedStrings.xml><?xml version="1.0" encoding="utf-8"?>
<sst xmlns="http://schemas.openxmlformats.org/spreadsheetml/2006/main" count="609" uniqueCount="102">
  <si>
    <t>Home base work</t>
  </si>
  <si>
    <t>Home base grade school</t>
  </si>
  <si>
    <t>Home base shopping</t>
  </si>
  <si>
    <t>Home base personal Business</t>
  </si>
  <si>
    <t>Home base university</t>
  </si>
  <si>
    <t>Home base social</t>
  </si>
  <si>
    <t>Home base escorting</t>
  </si>
  <si>
    <t>NON home base other</t>
  </si>
  <si>
    <t>NON home base work</t>
  </si>
  <si>
    <t>Accumulated/ row ID</t>
  </si>
  <si>
    <t>A lookup of the worksheet's name and data files.</t>
  </si>
  <si>
    <t>mf882     SOV   0.0 SOV Person Trips</t>
  </si>
  <si>
    <t>mf883    HOV2   0.0 HOV2 Person Trips</t>
  </si>
  <si>
    <t>mf884    HOV3   0.0 HOV3 Person Trips</t>
  </si>
  <si>
    <t>mf885     Bus   0.0 Bus Person Trips</t>
  </si>
  <si>
    <t>mf886    Rail   0.0 Rail Person Trips</t>
  </si>
  <si>
    <t>mf887    Walk   0.0 Walk Person Trips</t>
  </si>
  <si>
    <t>mf888    Bike   0.0 Walk Person Trips</t>
  </si>
  <si>
    <t>mf889    ScBs   0.0 SchoolBus Person Trips</t>
  </si>
  <si>
    <t>HBWork</t>
  </si>
  <si>
    <t>HBSchool</t>
  </si>
  <si>
    <t>HBUniv</t>
  </si>
  <si>
    <t>HBEscort</t>
  </si>
  <si>
    <t>HBShop</t>
  </si>
  <si>
    <t>HBSocial</t>
  </si>
  <si>
    <t>NHBWork</t>
  </si>
  <si>
    <t>NHBOther</t>
  </si>
  <si>
    <t>HBPersBusiness</t>
  </si>
  <si>
    <t>_work</t>
  </si>
  <si>
    <t>_Uni</t>
  </si>
  <si>
    <t>_sh</t>
  </si>
  <si>
    <t>_Soc</t>
  </si>
  <si>
    <t>_NHBO</t>
  </si>
  <si>
    <t>_Pb</t>
  </si>
  <si>
    <t>_Sc</t>
  </si>
  <si>
    <t>_Esc</t>
  </si>
  <si>
    <t>hbU</t>
  </si>
  <si>
    <t>hbEsc</t>
  </si>
  <si>
    <t>hbSoc</t>
  </si>
  <si>
    <t>hbSh</t>
  </si>
  <si>
    <t>hbSc</t>
  </si>
  <si>
    <t>hbW</t>
  </si>
  <si>
    <t>hbPb</t>
  </si>
  <si>
    <t>Total</t>
  </si>
  <si>
    <t>a matrix=mf882     SOV   0.0 SOV Person Trips</t>
  </si>
  <si>
    <t>a matrix=mf883    HOV2   0.0 HOV2 Person Trips</t>
  </si>
  <si>
    <t>a matrix=mf884    HOV3   0.0 HOV3 Person Trips</t>
  </si>
  <si>
    <t>a matrix=mf885     Bus   0.0 Bus Person Trips</t>
  </si>
  <si>
    <t>a matrix=mf886    Rail   0.0 Rail Person Trips</t>
  </si>
  <si>
    <t>a matrix=mf887    Walk   0.0 Walk Person Trips</t>
  </si>
  <si>
    <t>a matrix=mf888    Bike   0.0 Walk Person Trips</t>
  </si>
  <si>
    <t>a matrix=mf889    ScBs   0.0 SchoolBus Person Trips</t>
  </si>
  <si>
    <t>ListWs</t>
  </si>
  <si>
    <t>Auto person</t>
  </si>
  <si>
    <t>All purposes</t>
  </si>
  <si>
    <t>Non work trips</t>
  </si>
  <si>
    <t>Number of trips - Daily</t>
  </si>
  <si>
    <t xml:space="preserve">% shares </t>
  </si>
  <si>
    <t>All modes:</t>
  </si>
  <si>
    <t>MetroVancouver-MetroVancouver total:</t>
  </si>
  <si>
    <t>Note: school are omitted in the table above</t>
  </si>
  <si>
    <t>Total destined to MV</t>
  </si>
  <si>
    <t>Walk</t>
  </si>
  <si>
    <t>Bike</t>
  </si>
  <si>
    <t>Transit</t>
  </si>
  <si>
    <t>GY</t>
  </si>
  <si>
    <t>Sub-region</t>
  </si>
  <si>
    <t>North Shore</t>
  </si>
  <si>
    <t>Vancouver/UEL</t>
  </si>
  <si>
    <t>Burnaby/New West</t>
  </si>
  <si>
    <t>Northeast Sector</t>
  </si>
  <si>
    <t>Richmond/South Delta</t>
  </si>
  <si>
    <t>South of Fraser</t>
  </si>
  <si>
    <t>Pitt Meadows/Maple Ridge</t>
  </si>
  <si>
    <t>Langleys</t>
  </si>
  <si>
    <t>FVRD</t>
  </si>
  <si>
    <t>bike</t>
  </si>
  <si>
    <t>Total:</t>
  </si>
  <si>
    <t>Total - Region-wide:</t>
  </si>
  <si>
    <t>Total - within MetroVancouver:</t>
  </si>
  <si>
    <t>_NHBW</t>
  </si>
  <si>
    <t>NHBW</t>
  </si>
  <si>
    <t>NHBO</t>
  </si>
  <si>
    <t>Number of trips
24-hour</t>
  </si>
  <si>
    <t>Mode share (%)
24-hour</t>
  </si>
  <si>
    <t>Total trips:</t>
  </si>
  <si>
    <t>mf882   Calc1   0.0 Calculation 1</t>
  </si>
  <si>
    <t>a matrix=mf882   Calc1   0.0 Calculation 1</t>
  </si>
  <si>
    <t>mf883   Calc2   0.0 Calculation 2</t>
  </si>
  <si>
    <t>a matrix=mf883   Calc2   0.0 Calculation 2</t>
  </si>
  <si>
    <t>mf884   Calc3   0.0 Calculation 3</t>
  </si>
  <si>
    <t>a matrix=mf884   Calc3   0.0 Calculation 3</t>
  </si>
  <si>
    <t>mf885   Calc4   0.0 Calculation 4</t>
  </si>
  <si>
    <t>a matrix=mf885   Calc4   0.0 Calculation 4</t>
  </si>
  <si>
    <t>mf886   Calc5   0.0 Calculation 5</t>
  </si>
  <si>
    <t>a matrix=mf886   Calc5   0.0 Calculation 5</t>
  </si>
  <si>
    <t>mf887   Calc6   0.0 Calculation 6</t>
  </si>
  <si>
    <t>a matrix=mf887   Calc6   0.0 Calculation 6</t>
  </si>
  <si>
    <t>mf888   Calc7   0.0 Calculation 7</t>
  </si>
  <si>
    <t>a matrix=mf888   Calc7   0.0 Calculation 7</t>
  </si>
  <si>
    <t>mf889   Calc8   0.0 Calculation 8</t>
  </si>
  <si>
    <t>a matrix=mf889   Calc8   0.0 Calculation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</si>
</sst>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3" fontId="2" fillId="0" borderId="0" xfId="1" applyNumberFormat="1" applyFont="1"/>
    <xf numFmtId="3" fontId="2" fillId="0" borderId="0" xfId="2" applyNumberFormat="1" applyFont="1"/>
    <xf numFmtId="0" fontId="3" fillId="0" borderId="0" xfId="0" applyFont="1"/>
    <xf numFmtId="0" fontId="4" fillId="0" borderId="0" xfId="0" applyFont="1"/>
    <xf numFmtId="0" fontId="4" fillId="0" borderId="1" xfId="0" applyFont="1" applyBorder="1" applyAlignment="1">
      <alignment horizontal="center" textRotation="90" wrapText="1"/>
    </xf>
    <xf numFmtId="0" fontId="5" fillId="0" borderId="1" xfId="0" applyFont="1" applyBorder="1" applyAlignment="1">
      <alignment horizontal="left" vertical="center" wrapText="1"/>
    </xf>
    <xf numFmtId="3" fontId="2" fillId="0" borderId="0" xfId="0" applyNumberFormat="1" applyFont="1"/>
    <xf numFmtId="0" fontId="4" fillId="0" borderId="2" xfId="0" applyFont="1" applyBorder="1" applyAlignment="1">
      <alignment horizontal="right"/>
    </xf>
    <xf numFmtId="0" fontId="4" fillId="0" borderId="2" xfId="0" applyFont="1" applyBorder="1"/>
    <xf numFmtId="0" fontId="4" fillId="0" borderId="0" xfId="0" applyFont="1" applyBorder="1"/>
    <xf numFmtId="3" fontId="2" fillId="0" borderId="0" xfId="1" applyNumberFormat="1" applyFont="1" applyAlignment="1">
      <alignment horizontal="right"/>
    </xf>
    <xf numFmtId="3" fontId="2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3" fontId="8" fillId="0" borderId="0" xfId="1" applyNumberFormat="1" applyFont="1"/>
    <xf numFmtId="3" fontId="2" fillId="0" borderId="1" xfId="1" applyNumberFormat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3" fontId="7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3" fontId="4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3" fontId="6" fillId="0" borderId="0" xfId="0" applyNumberFormat="1" applyFont="1" applyAlignment="1">
      <alignment vertical="center"/>
    </xf>
    <xf numFmtId="0" fontId="6" fillId="0" borderId="0" xfId="0" applyFont="1" applyBorder="1" applyAlignment="1">
      <alignment vertical="center"/>
    </xf>
    <xf numFmtId="165" fontId="4" fillId="0" borderId="0" xfId="0" applyNumberFormat="1" applyFont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28575</xdr:rowOff>
        </xdr:from>
        <xdr:to>
          <xdr:col>0</xdr:col>
          <xdr:colOff>1638300</xdr:colOff>
          <xdr:row>2</xdr:row>
          <xdr:rowOff>352425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447675</xdr:rowOff>
        </xdr:from>
        <xdr:to>
          <xdr:col>0</xdr:col>
          <xdr:colOff>1962150</xdr:colOff>
          <xdr:row>2</xdr:row>
          <xdr:rowOff>733425</xdr:rowOff>
        </xdr:to>
        <xdr:sp macro="" textlink="">
          <xdr:nvSpPr>
            <xdr:cNvPr id="1026" name="MetVancOnl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48"/>
  <sheetViews>
    <sheetView workbookViewId="0">
      <selection activeCell="C11" sqref="C11"/>
    </sheetView>
  </sheetViews>
  <sheetFormatPr defaultRowHeight="12" x14ac:dyDescent="0.2"/>
  <cols>
    <col min="1" max="1" width="12.85546875" style="3" customWidth="1"/>
    <col min="2" max="2" width="5.42578125" style="3" bestFit="1" customWidth="1"/>
    <col min="3" max="3" width="11.85546875" style="3" bestFit="1" customWidth="1"/>
    <col min="4" max="4" width="19.5703125" style="3" bestFit="1" customWidth="1"/>
    <col min="5" max="16384" width="9.140625" style="3"/>
  </cols>
  <sheetData>
    <row r="1" spans="1:4" x14ac:dyDescent="0.2">
      <c r="A1" s="3" t="s">
        <v>10</v>
      </c>
    </row>
    <row r="2" spans="1:4" x14ac:dyDescent="0.2">
      <c r="A2" s="3" t="s">
        <v>19</v>
      </c>
      <c r="C2" s="3" t="s">
        <v>28</v>
      </c>
      <c r="D2" s="3" t="str">
        <f>"Overall_results5"&amp;C2&amp;".txt"</f>
        <v>Overall_results5_work.txt</v>
      </c>
    </row>
    <row r="3" spans="1:4" x14ac:dyDescent="0.2">
      <c r="A3" s="3" t="s">
        <v>20</v>
      </c>
      <c r="C3" s="3" t="s">
        <v>34</v>
      </c>
      <c r="D3" s="3" t="str">
        <f t="shared" ref="D3:D10" si="0">"Overall_results5"&amp;C3&amp;".txt"</f>
        <v>Overall_results5_Sc.txt</v>
      </c>
    </row>
    <row r="4" spans="1:4" x14ac:dyDescent="0.2">
      <c r="A4" s="3" t="s">
        <v>21</v>
      </c>
      <c r="C4" s="3" t="s">
        <v>29</v>
      </c>
      <c r="D4" s="3" t="str">
        <f t="shared" si="0"/>
        <v>Overall_results5_Uni.txt</v>
      </c>
    </row>
    <row r="5" spans="1:4" x14ac:dyDescent="0.2">
      <c r="A5" s="3" t="s">
        <v>22</v>
      </c>
      <c r="C5" s="3" t="s">
        <v>35</v>
      </c>
      <c r="D5" s="3" t="str">
        <f t="shared" si="0"/>
        <v>Overall_results5_Esc.txt</v>
      </c>
    </row>
    <row r="6" spans="1:4" x14ac:dyDescent="0.2">
      <c r="A6" s="3" t="s">
        <v>23</v>
      </c>
      <c r="C6" s="3" t="s">
        <v>30</v>
      </c>
      <c r="D6" s="3" t="str">
        <f t="shared" si="0"/>
        <v>Overall_results5_sh.txt</v>
      </c>
    </row>
    <row r="7" spans="1:4" x14ac:dyDescent="0.2">
      <c r="A7" s="3" t="s">
        <v>24</v>
      </c>
      <c r="C7" s="3" t="s">
        <v>31</v>
      </c>
      <c r="D7" s="3" t="str">
        <f t="shared" si="0"/>
        <v>Overall_results5_Soc.txt</v>
      </c>
    </row>
    <row r="8" spans="1:4" x14ac:dyDescent="0.2">
      <c r="A8" s="3" t="s">
        <v>25</v>
      </c>
      <c r="C8" s="3" t="s">
        <v>80</v>
      </c>
      <c r="D8" s="3" t="str">
        <f t="shared" si="0"/>
        <v>Overall_results5_NHBW.txt</v>
      </c>
    </row>
    <row r="9" spans="1:4" x14ac:dyDescent="0.2">
      <c r="A9" s="3" t="s">
        <v>26</v>
      </c>
      <c r="C9" s="3" t="s">
        <v>32</v>
      </c>
      <c r="D9" s="3" t="str">
        <f t="shared" si="0"/>
        <v>Overall_results5_NHBO.txt</v>
      </c>
    </row>
    <row r="10" spans="1:4" x14ac:dyDescent="0.2">
      <c r="A10" s="3" t="s">
        <v>27</v>
      </c>
      <c r="C10" s="3" t="s">
        <v>33</v>
      </c>
      <c r="D10" s="3" t="str">
        <f t="shared" si="0"/>
        <v>Overall_results5_Pb.txt</v>
      </c>
    </row>
    <row r="19" spans="1:4" x14ac:dyDescent="0.2">
      <c r="A19" s="3" t="s">
        <v>52</v>
      </c>
      <c r="B19" s="3">
        <v>5</v>
      </c>
    </row>
    <row r="20" spans="1:4" x14ac:dyDescent="0.2">
      <c r="A20" s="3" t="s">
        <v>19</v>
      </c>
      <c r="B20" s="3" t="s">
        <v>41</v>
      </c>
      <c r="D20" s="3" t="str">
        <f t="shared" ref="D20:D28" si="1">B20&amp;"/"&amp;"Overall_Results_"&amp;B20&amp;"_"&amp;select_iter&amp;".txt"</f>
        <v>hbW/Overall_Results_hbW_5.txt</v>
      </c>
    </row>
    <row r="21" spans="1:4" x14ac:dyDescent="0.2">
      <c r="A21" s="3" t="s">
        <v>20</v>
      </c>
      <c r="B21" s="3" t="s">
        <v>40</v>
      </c>
      <c r="D21" s="3" t="str">
        <f t="shared" si="1"/>
        <v>hbSc/Overall_Results_hbSc_5.txt</v>
      </c>
    </row>
    <row r="22" spans="1:4" x14ac:dyDescent="0.2">
      <c r="A22" s="3" t="s">
        <v>21</v>
      </c>
      <c r="B22" s="3" t="s">
        <v>36</v>
      </c>
      <c r="D22" s="3" t="str">
        <f t="shared" si="1"/>
        <v>hbU/Overall_Results_hbU_5.txt</v>
      </c>
    </row>
    <row r="23" spans="1:4" x14ac:dyDescent="0.2">
      <c r="A23" s="3" t="s">
        <v>22</v>
      </c>
      <c r="B23" s="3" t="s">
        <v>37</v>
      </c>
      <c r="D23" s="3" t="str">
        <f t="shared" si="1"/>
        <v>hbEsc/Overall_Results_hbEsc_5.txt</v>
      </c>
    </row>
    <row r="24" spans="1:4" x14ac:dyDescent="0.2">
      <c r="A24" s="3" t="s">
        <v>23</v>
      </c>
      <c r="B24" s="3" t="s">
        <v>39</v>
      </c>
      <c r="D24" s="3" t="str">
        <f t="shared" si="1"/>
        <v>hbSh/Overall_Results_hbSh_5.txt</v>
      </c>
    </row>
    <row r="25" spans="1:4" x14ac:dyDescent="0.2">
      <c r="A25" s="3" t="s">
        <v>24</v>
      </c>
      <c r="B25" s="3" t="s">
        <v>38</v>
      </c>
      <c r="D25" s="3" t="str">
        <f t="shared" si="1"/>
        <v>hbSoc/Overall_Results_hbSoc_5.txt</v>
      </c>
    </row>
    <row r="26" spans="1:4" x14ac:dyDescent="0.2">
      <c r="A26" s="3" t="s">
        <v>27</v>
      </c>
      <c r="B26" s="3" t="s">
        <v>42</v>
      </c>
      <c r="D26" s="3" t="str">
        <f t="shared" si="1"/>
        <v>hbPb/Overall_Results_hbPb_5.txt</v>
      </c>
    </row>
    <row r="27" spans="1:4" x14ac:dyDescent="0.2">
      <c r="A27" s="3" t="s">
        <v>25</v>
      </c>
      <c r="B27" s="3" t="s">
        <v>81</v>
      </c>
      <c r="D27" s="3" t="str">
        <f t="shared" si="1"/>
        <v>NHBW/Overall_Results_NHBW_5.txt</v>
      </c>
    </row>
    <row r="28" spans="1:4" x14ac:dyDescent="0.2">
      <c r="A28" s="3" t="s">
        <v>26</v>
      </c>
      <c r="B28" s="3" t="s">
        <v>82</v>
      </c>
      <c r="D28" s="3" t="str">
        <f t="shared" si="1"/>
        <v>NHBO/Overall_Results_NHBO_5.txt</v>
      </c>
    </row>
    <row r="34" spans="2:3" x14ac:dyDescent="0.2">
      <c r="B34" s="3" t="s">
        <v>65</v>
      </c>
      <c r="C34" s="3" t="s">
        <v>66</v>
      </c>
    </row>
    <row r="35" spans="2:3" x14ac:dyDescent="0.2">
      <c r="B35" s="3">
        <v>1</v>
      </c>
      <c r="C35" s="3" t="s">
        <v>67</v>
      </c>
    </row>
    <row r="36" spans="2:3" x14ac:dyDescent="0.2">
      <c r="B36" s="3">
        <v>2</v>
      </c>
      <c r="C36" s="3" t="s">
        <v>67</v>
      </c>
    </row>
    <row r="37" spans="2:3" x14ac:dyDescent="0.2">
      <c r="B37" s="3">
        <v>3</v>
      </c>
      <c r="C37" s="3" t="s">
        <v>68</v>
      </c>
    </row>
    <row r="38" spans="2:3" x14ac:dyDescent="0.2">
      <c r="B38" s="3">
        <v>4</v>
      </c>
      <c r="C38" s="3" t="s">
        <v>68</v>
      </c>
    </row>
    <row r="39" spans="2:3" x14ac:dyDescent="0.2">
      <c r="B39" s="3">
        <v>5</v>
      </c>
      <c r="C39" s="3" t="s">
        <v>69</v>
      </c>
    </row>
    <row r="40" spans="2:3" x14ac:dyDescent="0.2">
      <c r="B40" s="3">
        <v>6</v>
      </c>
      <c r="C40" s="3" t="s">
        <v>70</v>
      </c>
    </row>
    <row r="41" spans="2:3" x14ac:dyDescent="0.2">
      <c r="B41" s="3">
        <v>7</v>
      </c>
      <c r="C41" s="3" t="s">
        <v>71</v>
      </c>
    </row>
    <row r="42" spans="2:3" x14ac:dyDescent="0.2">
      <c r="B42" s="3">
        <v>8</v>
      </c>
      <c r="C42" s="3" t="s">
        <v>71</v>
      </c>
    </row>
    <row r="43" spans="2:3" x14ac:dyDescent="0.2">
      <c r="B43" s="3">
        <v>9</v>
      </c>
      <c r="C43" s="3" t="s">
        <v>72</v>
      </c>
    </row>
    <row r="44" spans="2:3" x14ac:dyDescent="0.2">
      <c r="B44" s="3">
        <v>10</v>
      </c>
      <c r="C44" s="3" t="s">
        <v>72</v>
      </c>
    </row>
    <row r="45" spans="2:3" x14ac:dyDescent="0.2">
      <c r="B45" s="3">
        <v>11</v>
      </c>
      <c r="C45" s="3" t="s">
        <v>73</v>
      </c>
    </row>
    <row r="46" spans="2:3" x14ac:dyDescent="0.2">
      <c r="B46" s="3">
        <v>12</v>
      </c>
      <c r="C46" s="3" t="s">
        <v>74</v>
      </c>
    </row>
    <row r="47" spans="2:3" x14ac:dyDescent="0.2">
      <c r="B47" s="3">
        <v>13</v>
      </c>
      <c r="C47" s="3" t="s">
        <v>75</v>
      </c>
    </row>
    <row r="48" spans="2:3" x14ac:dyDescent="0.2">
      <c r="B48" s="3">
        <v>14</v>
      </c>
      <c r="C48" s="3" t="s">
        <v>75</v>
      </c>
    </row>
  </sheetData>
  <pageMargins left="0.7" right="0.7" top="0.75" bottom="0.75" header="0.3" footer="0.3"/>
  <pageSetup orientation="portrait" r:id="rId1"/>
  <headerFooter>
    <oddFooter>&amp;L&amp;F&amp;R&amp;"-,Italic"&amp;6&amp;D  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66"/>
  <sheetViews>
    <sheetView showGridLines="0" tabSelected="1" zoomScaleNormal="100" workbookViewId="0">
      <pane ySplit="3" topLeftCell="A4" activePane="bottomLeft" state="frozen"/>
      <selection activeCell="I24" sqref="I24"/>
      <selection pane="bottomLeft" activeCell="A4" sqref="A4"/>
    </sheetView>
  </sheetViews>
  <sheetFormatPr defaultRowHeight="11.25" x14ac:dyDescent="0.2"/>
  <cols>
    <col min="1" max="1" width="29.85546875" style="4" customWidth="1"/>
    <col min="2" max="2" width="4.42578125" style="4" customWidth="1"/>
    <col min="3" max="11" width="7.85546875" style="4" customWidth="1"/>
    <col min="12" max="12" width="1.28515625" style="4" customWidth="1"/>
    <col min="13" max="15" width="9.28515625" style="4" customWidth="1"/>
    <col min="16" max="16384" width="9.140625" style="4"/>
  </cols>
  <sheetData>
    <row r="1" spans="1:14" x14ac:dyDescent="0.2">
      <c r="A1" s="4">
        <v>20</v>
      </c>
      <c r="C1" s="4" t="s">
        <v>19</v>
      </c>
      <c r="D1" s="4" t="s">
        <v>20</v>
      </c>
      <c r="E1" s="4" t="s">
        <v>23</v>
      </c>
      <c r="F1" s="4" t="s">
        <v>27</v>
      </c>
      <c r="G1" s="4" t="s">
        <v>21</v>
      </c>
      <c r="H1" s="4" t="s">
        <v>24</v>
      </c>
      <c r="I1" s="4" t="s">
        <v>22</v>
      </c>
      <c r="J1" s="4" t="s">
        <v>26</v>
      </c>
      <c r="K1" s="4" t="s">
        <v>25</v>
      </c>
    </row>
    <row r="3" spans="1:14" ht="62.25" customHeight="1" x14ac:dyDescent="0.2">
      <c r="A3" s="6"/>
      <c r="B3" s="5" t="s">
        <v>9</v>
      </c>
      <c r="C3" s="5" t="s">
        <v>0</v>
      </c>
      <c r="D3" s="5" t="s">
        <v>1</v>
      </c>
      <c r="E3" s="5" t="s">
        <v>2</v>
      </c>
      <c r="F3" s="5" t="s">
        <v>3</v>
      </c>
      <c r="G3" s="5" t="s">
        <v>4</v>
      </c>
      <c r="H3" s="5" t="s">
        <v>5</v>
      </c>
      <c r="I3" s="5" t="s">
        <v>6</v>
      </c>
      <c r="J3" s="5" t="s">
        <v>7</v>
      </c>
      <c r="K3" s="5" t="s">
        <v>8</v>
      </c>
      <c r="M3" s="5" t="s">
        <v>83</v>
      </c>
      <c r="N3" s="5" t="s">
        <v>84</v>
      </c>
    </row>
    <row r="4" spans="1:14" ht="15" customHeight="1" x14ac:dyDescent="0.2">
      <c r="A4" s="15" t="s">
        <v>11</v>
      </c>
      <c r="B4" s="16" t="str">
        <f>IFERROR(MATCH(A4,HBWork!R:R,0),"n.a.")</f>
        <v>n.a.</v>
      </c>
      <c r="C4" s="17">
        <f ca="1">INDIRECT(ADDRESS(ROW()-2,posValue1,,,C$1))</f>
        <v>903691.49225999997</v>
      </c>
      <c r="D4" s="17">
        <f t="shared" ref="D4:K8" ca="1" si="0">INDIRECT(ADDRESS(ROW()-2,posValue1,,,D$1))</f>
        <v>3605.6117869999998</v>
      </c>
      <c r="E4" s="17">
        <f t="shared" ca="1" si="0"/>
        <v>239571.93434839995</v>
      </c>
      <c r="F4" s="17">
        <f t="shared" ca="1" si="0"/>
        <v>186255.51677010008</v>
      </c>
      <c r="G4" s="17">
        <f t="shared" ca="1" si="0"/>
        <v>45077.753041999997</v>
      </c>
      <c r="H4" s="17">
        <f t="shared" ca="1" si="0"/>
        <v>279556.63715899992</v>
      </c>
      <c r="I4" s="17">
        <f t="shared" ca="1" si="0"/>
        <v>166310.81498910001</v>
      </c>
      <c r="J4" s="17">
        <f t="shared" ca="1" si="0"/>
        <v>225112.08886830002</v>
      </c>
      <c r="K4" s="17">
        <f t="shared" ca="1" si="0"/>
        <v>351039.19216399989</v>
      </c>
      <c r="L4" s="18"/>
      <c r="M4" s="17">
        <f ca="1">SUM(C4:K4)</f>
        <v>2400221.0413878998</v>
      </c>
      <c r="N4" s="32">
        <f ca="1">IFERROR(M4/SUM(M$4:M$11),"n.a.")</f>
        <v>0.40192446386836522</v>
      </c>
    </row>
    <row r="5" spans="1:14" ht="15" customHeight="1" x14ac:dyDescent="0.2">
      <c r="A5" s="15" t="s">
        <v>12</v>
      </c>
      <c r="B5" s="16" t="str">
        <f>IFERROR(MATCH(A5,HBWork!R:R,0),"n.a.")</f>
        <v>n.a.</v>
      </c>
      <c r="C5" s="17">
        <f t="shared" ref="C5:C11" ca="1" si="1">INDIRECT(ADDRESS(ROW()-2,posValue1,,,C$1))</f>
        <v>131461.50869199997</v>
      </c>
      <c r="D5" s="17">
        <f t="shared" ca="1" si="0"/>
        <v>254167.20341650007</v>
      </c>
      <c r="E5" s="17">
        <f t="shared" ca="1" si="0"/>
        <v>182559.55657210003</v>
      </c>
      <c r="F5" s="17">
        <f t="shared" ca="1" si="0"/>
        <v>128205.23194930001</v>
      </c>
      <c r="G5" s="17">
        <f t="shared" ca="1" si="0"/>
        <v>17405.778882899998</v>
      </c>
      <c r="H5" s="17">
        <f t="shared" ca="1" si="0"/>
        <v>412460.36681529984</v>
      </c>
      <c r="I5" s="17">
        <f t="shared" ca="1" si="0"/>
        <v>407061.21912299999</v>
      </c>
      <c r="J5" s="17">
        <f t="shared" ca="1" si="0"/>
        <v>390813.7122312999</v>
      </c>
      <c r="K5" s="17">
        <f ca="1">INDIRECT(ADDRESS(ROW()-2,posValue1,,,K$1))</f>
        <v>94294.823560300036</v>
      </c>
      <c r="L5" s="18"/>
      <c r="M5" s="17">
        <f t="shared" ref="M5:M11" ca="1" si="2">SUM(C5:K5)</f>
        <v>2018429.4012426999</v>
      </c>
      <c r="N5" s="32">
        <f t="shared" ref="N5:N11" ca="1" si="3">IFERROR(M5/SUM(M$4:M$11),"n.a.")</f>
        <v>0.33799226861269333</v>
      </c>
    </row>
    <row r="6" spans="1:14" ht="15" customHeight="1" x14ac:dyDescent="0.2">
      <c r="A6" s="15" t="s">
        <v>13</v>
      </c>
      <c r="B6" s="16" t="str">
        <f>IFERROR(MATCH(A6,HBWork!R:R,0),"n.a.")</f>
        <v>n.a.</v>
      </c>
      <c r="C6" s="17">
        <f t="shared" ca="1" si="1"/>
        <v>26732.653098300008</v>
      </c>
      <c r="D6" s="17">
        <f t="shared" ca="1" si="0"/>
        <v>0</v>
      </c>
      <c r="E6" s="17">
        <f t="shared" ca="1" si="0"/>
        <v>0</v>
      </c>
      <c r="F6" s="17">
        <f t="shared" ca="1" si="0"/>
        <v>0</v>
      </c>
      <c r="G6" s="17">
        <f t="shared" ca="1" si="0"/>
        <v>5494.7012875000009</v>
      </c>
      <c r="H6" s="17">
        <f t="shared" ca="1" si="0"/>
        <v>0</v>
      </c>
      <c r="I6" s="17">
        <f t="shared" ca="1" si="0"/>
        <v>0</v>
      </c>
      <c r="J6" s="17">
        <f ca="1">INDIRECT(ADDRESS(ROW()-2,posValue1,,,J$1))</f>
        <v>0</v>
      </c>
      <c r="K6" s="17">
        <f t="shared" ca="1" si="0"/>
        <v>0</v>
      </c>
      <c r="L6" s="18"/>
      <c r="M6" s="17">
        <f t="shared" ca="1" si="2"/>
        <v>32227.354385800008</v>
      </c>
      <c r="N6" s="32">
        <f t="shared" ca="1" si="3"/>
        <v>5.3965705283204159E-3</v>
      </c>
    </row>
    <row r="7" spans="1:14" ht="15" customHeight="1" x14ac:dyDescent="0.2">
      <c r="A7" s="15" t="s">
        <v>14</v>
      </c>
      <c r="B7" s="16" t="str">
        <f>IFERROR(MATCH(A7,HBWork!R:R,0),"n.a.")</f>
        <v>n.a.</v>
      </c>
      <c r="C7" s="17">
        <f t="shared" ca="1" si="1"/>
        <v>120727.12195699998</v>
      </c>
      <c r="D7" s="17">
        <f t="shared" ref="D7:I7" ca="1" si="4">INDIRECT(ADDRESS(ROW()-2,posValue1,,,D$1))</f>
        <v>41345.316060300014</v>
      </c>
      <c r="E7" s="17">
        <f t="shared" ca="1" si="4"/>
        <v>37450.320168300001</v>
      </c>
      <c r="F7" s="17">
        <f t="shared" ca="1" si="4"/>
        <v>32277.845852000002</v>
      </c>
      <c r="G7" s="17">
        <f t="shared" ca="1" si="4"/>
        <v>65484.467694100014</v>
      </c>
      <c r="H7" s="17">
        <f t="shared" ca="1" si="4"/>
        <v>49160.041670900013</v>
      </c>
      <c r="I7" s="17">
        <f t="shared" ca="1" si="4"/>
        <v>5365.5757210000047</v>
      </c>
      <c r="J7" s="17">
        <f t="shared" ca="1" si="0"/>
        <v>36606.626580599994</v>
      </c>
      <c r="K7" s="17">
        <f t="shared" ca="1" si="0"/>
        <v>23521.593407899989</v>
      </c>
      <c r="L7" s="18"/>
      <c r="M7" s="17">
        <f t="shared" ca="1" si="2"/>
        <v>411938.90911210002</v>
      </c>
      <c r="N7" s="32">
        <f t="shared" ca="1" si="3"/>
        <v>6.8980449023837431E-2</v>
      </c>
    </row>
    <row r="8" spans="1:14" ht="15" customHeight="1" x14ac:dyDescent="0.2">
      <c r="A8" s="15" t="s">
        <v>15</v>
      </c>
      <c r="B8" s="16" t="str">
        <f>IFERROR(MATCH(A8,HBWork!R:R,0),"n.a.")</f>
        <v>n.a.</v>
      </c>
      <c r="C8" s="17">
        <f t="shared" ca="1" si="1"/>
        <v>183413.14848019992</v>
      </c>
      <c r="D8" s="17">
        <f t="shared" ca="1" si="0"/>
        <v>5387.7253927000002</v>
      </c>
      <c r="E8" s="17">
        <f t="shared" ca="1" si="0"/>
        <v>21947.171088700004</v>
      </c>
      <c r="F8" s="17">
        <f t="shared" ca="1" si="0"/>
        <v>22511.742848799993</v>
      </c>
      <c r="G8" s="17">
        <f ca="1">INDIRECT(ADDRESS(ROW()-2,posValue1,,,G$1))</f>
        <v>63680.213641200025</v>
      </c>
      <c r="H8" s="17">
        <f t="shared" ref="D8:K11" ca="1" si="5">INDIRECT(ADDRESS(ROW()-2,posValue1,,,H$1))</f>
        <v>36692.744324100022</v>
      </c>
      <c r="I8" s="17">
        <f t="shared" ca="1" si="5"/>
        <v>2622.6463903000008</v>
      </c>
      <c r="J8" s="17">
        <f t="shared" ca="1" si="5"/>
        <v>21191.707930899982</v>
      </c>
      <c r="K8" s="17">
        <f t="shared" ca="1" si="5"/>
        <v>27320.554535000014</v>
      </c>
      <c r="L8" s="18"/>
      <c r="M8" s="17">
        <f t="shared" ca="1" si="2"/>
        <v>384767.65463189996</v>
      </c>
      <c r="N8" s="32">
        <f t="shared" ca="1" si="3"/>
        <v>6.4430538119269035E-2</v>
      </c>
    </row>
    <row r="9" spans="1:14" ht="15" customHeight="1" x14ac:dyDescent="0.2">
      <c r="A9" s="15" t="s">
        <v>16</v>
      </c>
      <c r="B9" s="16" t="str">
        <f>IFERROR(MATCH(A9,HBWork!R:R,0),"n.a.")</f>
        <v>n.a.</v>
      </c>
      <c r="C9" s="17">
        <f t="shared" ca="1" si="1"/>
        <v>70618.651729299992</v>
      </c>
      <c r="D9" s="17">
        <f t="shared" ca="1" si="5"/>
        <v>191680.70393810005</v>
      </c>
      <c r="E9" s="17">
        <f t="shared" ca="1" si="5"/>
        <v>66571.624297400034</v>
      </c>
      <c r="F9" s="17">
        <f t="shared" ca="1" si="5"/>
        <v>38608.005201600012</v>
      </c>
      <c r="G9" s="17">
        <f t="shared" ca="1" si="5"/>
        <v>10623.089185199997</v>
      </c>
      <c r="H9" s="17">
        <f t="shared" ca="1" si="5"/>
        <v>78447.264606099998</v>
      </c>
      <c r="I9" s="17">
        <f t="shared" ca="1" si="5"/>
        <v>53940.65798779999</v>
      </c>
      <c r="J9" s="17">
        <f t="shared" ca="1" si="5"/>
        <v>56127.899230400006</v>
      </c>
      <c r="K9" s="17">
        <f t="shared" ca="1" si="5"/>
        <v>34598.066318400008</v>
      </c>
      <c r="L9" s="18"/>
      <c r="M9" s="17">
        <f t="shared" ca="1" si="2"/>
        <v>601215.96249429998</v>
      </c>
      <c r="N9" s="32">
        <f t="shared" ca="1" si="3"/>
        <v>0.10067547914457796</v>
      </c>
    </row>
    <row r="10" spans="1:14" ht="15" customHeight="1" x14ac:dyDescent="0.2">
      <c r="A10" s="15" t="s">
        <v>17</v>
      </c>
      <c r="B10" s="16" t="str">
        <f>IFERROR(MATCH(A10,HBWork!R:R,0),"n.a.")</f>
        <v>n.a.</v>
      </c>
      <c r="C10" s="17">
        <f t="shared" ca="1" si="1"/>
        <v>42314.479101799996</v>
      </c>
      <c r="D10" s="17">
        <f t="shared" ca="1" si="5"/>
        <v>13585.3348465</v>
      </c>
      <c r="E10" s="17">
        <f t="shared" ca="1" si="5"/>
        <v>9854.1025723999992</v>
      </c>
      <c r="F10" s="17">
        <f t="shared" ca="1" si="5"/>
        <v>0</v>
      </c>
      <c r="G10" s="17">
        <f t="shared" ca="1" si="5"/>
        <v>0</v>
      </c>
      <c r="H10" s="17">
        <f t="shared" ca="1" si="5"/>
        <v>16020.094627900005</v>
      </c>
      <c r="I10" s="17">
        <f t="shared" ca="1" si="5"/>
        <v>0</v>
      </c>
      <c r="J10" s="17">
        <f t="shared" ca="1" si="5"/>
        <v>8540.5396053000022</v>
      </c>
      <c r="K10" s="17">
        <f t="shared" ca="1" si="5"/>
        <v>5325.9238494000019</v>
      </c>
      <c r="L10" s="18"/>
      <c r="M10" s="17">
        <f t="shared" ca="1" si="2"/>
        <v>95640.474603300012</v>
      </c>
      <c r="N10" s="32">
        <f t="shared" ca="1" si="3"/>
        <v>1.6015294348398733E-2</v>
      </c>
    </row>
    <row r="11" spans="1:14" ht="15" customHeight="1" x14ac:dyDescent="0.2">
      <c r="A11" s="15" t="s">
        <v>18</v>
      </c>
      <c r="B11" s="16" t="str">
        <f>IFERROR(MATCH(A11,HBWork!R:R,0),"n.a.")</f>
        <v>n.a.</v>
      </c>
      <c r="C11" s="17">
        <f t="shared" ca="1" si="1"/>
        <v>0</v>
      </c>
      <c r="D11" s="17">
        <f t="shared" ca="1" si="5"/>
        <v>27380.420205500002</v>
      </c>
      <c r="E11" s="17">
        <f t="shared" ca="1" si="5"/>
        <v>0</v>
      </c>
      <c r="F11" s="17">
        <f t="shared" ca="1" si="5"/>
        <v>0</v>
      </c>
      <c r="G11" s="17">
        <f t="shared" ca="1" si="5"/>
        <v>0</v>
      </c>
      <c r="H11" s="17">
        <f t="shared" ca="1" si="5"/>
        <v>0</v>
      </c>
      <c r="I11" s="17">
        <f t="shared" ca="1" si="5"/>
        <v>0</v>
      </c>
      <c r="J11" s="17">
        <f t="shared" ca="1" si="5"/>
        <v>0</v>
      </c>
      <c r="K11" s="17">
        <f t="shared" ca="1" si="5"/>
        <v>0</v>
      </c>
      <c r="L11" s="18"/>
      <c r="M11" s="17">
        <f t="shared" ca="1" si="2"/>
        <v>27380.420205500002</v>
      </c>
      <c r="N11" s="32">
        <f t="shared" ca="1" si="3"/>
        <v>4.584936354537876E-3</v>
      </c>
    </row>
    <row r="12" spans="1:14" x14ac:dyDescent="0.2">
      <c r="A12" s="19" t="s">
        <v>85</v>
      </c>
      <c r="B12" s="18"/>
      <c r="C12" s="20">
        <f ca="1">SUM(C4:C11)</f>
        <v>1478959.0553185996</v>
      </c>
      <c r="D12" s="20">
        <f t="shared" ref="D12:M12" ca="1" si="6">SUM(D4:D11)</f>
        <v>537152.31564660021</v>
      </c>
      <c r="E12" s="20">
        <f t="shared" ca="1" si="6"/>
        <v>557954.70904730004</v>
      </c>
      <c r="F12" s="20">
        <f t="shared" ca="1" si="6"/>
        <v>407858.34262180008</v>
      </c>
      <c r="G12" s="20">
        <f t="shared" ca="1" si="6"/>
        <v>207766.00373290002</v>
      </c>
      <c r="H12" s="20">
        <f t="shared" ca="1" si="6"/>
        <v>872337.14920329978</v>
      </c>
      <c r="I12" s="20">
        <f t="shared" ca="1" si="6"/>
        <v>635300.91421119997</v>
      </c>
      <c r="J12" s="20">
        <f t="shared" ca="1" si="6"/>
        <v>738392.57444679993</v>
      </c>
      <c r="K12" s="20">
        <f t="shared" ca="1" si="6"/>
        <v>536100.153835</v>
      </c>
      <c r="L12" s="18"/>
      <c r="M12" s="20">
        <f t="shared" ca="1" si="6"/>
        <v>5971821.2180634998</v>
      </c>
      <c r="N12" s="18"/>
    </row>
    <row r="14" spans="1:14" ht="41.25" customHeight="1" x14ac:dyDescent="0.2">
      <c r="A14" s="8" t="s">
        <v>56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10"/>
      <c r="M14" s="5" t="s">
        <v>55</v>
      </c>
      <c r="N14" s="5" t="s">
        <v>54</v>
      </c>
    </row>
    <row r="15" spans="1:14" s="18" customFormat="1" x14ac:dyDescent="0.25">
      <c r="A15" s="19" t="s">
        <v>53</v>
      </c>
      <c r="C15" s="21">
        <f ca="1">SUM(C4:C6)</f>
        <v>1061885.6540502999</v>
      </c>
      <c r="D15" s="21">
        <f t="shared" ref="D15:K15" ca="1" si="7">SUM(D4:D6)</f>
        <v>257772.81520350007</v>
      </c>
      <c r="E15" s="21">
        <f t="shared" ca="1" si="7"/>
        <v>422131.49092050001</v>
      </c>
      <c r="F15" s="21">
        <f t="shared" ca="1" si="7"/>
        <v>314460.74871940009</v>
      </c>
      <c r="G15" s="21">
        <f t="shared" ca="1" si="7"/>
        <v>67978.233212399995</v>
      </c>
      <c r="H15" s="21">
        <f t="shared" ca="1" si="7"/>
        <v>692017.00397429976</v>
      </c>
      <c r="I15" s="21">
        <f t="shared" ca="1" si="7"/>
        <v>573372.03411210002</v>
      </c>
      <c r="J15" s="21">
        <f t="shared" ca="1" si="7"/>
        <v>615925.80109959992</v>
      </c>
      <c r="K15" s="21">
        <f t="shared" ca="1" si="7"/>
        <v>445334.01572429994</v>
      </c>
      <c r="L15" s="22"/>
      <c r="M15" s="21">
        <f ca="1">SUM(D15:K15)</f>
        <v>3388992.1429660995</v>
      </c>
      <c r="N15" s="21">
        <f ca="1">SUM(C15:K15)</f>
        <v>4450877.797016399</v>
      </c>
    </row>
    <row r="16" spans="1:14" s="18" customFormat="1" x14ac:dyDescent="0.25">
      <c r="A16" s="19" t="s">
        <v>64</v>
      </c>
      <c r="C16" s="21">
        <f ca="1">C7+C8</f>
        <v>304140.27043719991</v>
      </c>
      <c r="D16" s="21">
        <f t="shared" ref="D16:K16" ca="1" si="8">D7+D8</f>
        <v>46733.041453000013</v>
      </c>
      <c r="E16" s="21">
        <f t="shared" ca="1" si="8"/>
        <v>59397.491257000001</v>
      </c>
      <c r="F16" s="21">
        <f t="shared" ca="1" si="8"/>
        <v>54789.588700799999</v>
      </c>
      <c r="G16" s="21">
        <f t="shared" ca="1" si="8"/>
        <v>129164.68133530003</v>
      </c>
      <c r="H16" s="21">
        <f t="shared" ca="1" si="8"/>
        <v>85852.785995000042</v>
      </c>
      <c r="I16" s="21">
        <f t="shared" ca="1" si="8"/>
        <v>7988.2221113000051</v>
      </c>
      <c r="J16" s="21">
        <f t="shared" ca="1" si="8"/>
        <v>57798.334511499976</v>
      </c>
      <c r="K16" s="21">
        <f t="shared" ca="1" si="8"/>
        <v>50842.147942900003</v>
      </c>
      <c r="L16" s="22"/>
      <c r="M16" s="21">
        <f ca="1">SUM(D16:K16)</f>
        <v>492566.29330680007</v>
      </c>
      <c r="N16" s="21">
        <f ca="1">SUM(C16:K16)</f>
        <v>796706.56374399993</v>
      </c>
    </row>
    <row r="17" spans="1:14" s="18" customFormat="1" x14ac:dyDescent="0.25">
      <c r="A17" s="19" t="s">
        <v>62</v>
      </c>
      <c r="C17" s="21">
        <f ca="1">C9</f>
        <v>70618.651729299992</v>
      </c>
      <c r="D17" s="21">
        <f t="shared" ref="D17:K17" ca="1" si="9">D9</f>
        <v>191680.70393810005</v>
      </c>
      <c r="E17" s="21">
        <f t="shared" ca="1" si="9"/>
        <v>66571.624297400034</v>
      </c>
      <c r="F17" s="21">
        <f t="shared" ca="1" si="9"/>
        <v>38608.005201600012</v>
      </c>
      <c r="G17" s="21">
        <f t="shared" ca="1" si="9"/>
        <v>10623.089185199997</v>
      </c>
      <c r="H17" s="21">
        <f t="shared" ca="1" si="9"/>
        <v>78447.264606099998</v>
      </c>
      <c r="I17" s="21">
        <f t="shared" ca="1" si="9"/>
        <v>53940.65798779999</v>
      </c>
      <c r="J17" s="21">
        <f t="shared" ca="1" si="9"/>
        <v>56127.899230400006</v>
      </c>
      <c r="K17" s="21">
        <f t="shared" ca="1" si="9"/>
        <v>34598.066318400008</v>
      </c>
      <c r="L17" s="22"/>
      <c r="M17" s="21">
        <f ca="1">SUM(D17:K17)</f>
        <v>530597.31076500006</v>
      </c>
      <c r="N17" s="21">
        <f ca="1">SUM(C17:K17)</f>
        <v>601215.96249429998</v>
      </c>
    </row>
    <row r="18" spans="1:14" s="18" customFormat="1" x14ac:dyDescent="0.25">
      <c r="A18" s="23" t="s">
        <v>63</v>
      </c>
      <c r="B18" s="24"/>
      <c r="C18" s="25">
        <f ca="1">C10</f>
        <v>42314.479101799996</v>
      </c>
      <c r="D18" s="25">
        <f t="shared" ref="D18:K18" ca="1" si="10">D10</f>
        <v>13585.3348465</v>
      </c>
      <c r="E18" s="25">
        <f t="shared" ca="1" si="10"/>
        <v>9854.1025723999992</v>
      </c>
      <c r="F18" s="25">
        <f t="shared" ca="1" si="10"/>
        <v>0</v>
      </c>
      <c r="G18" s="25">
        <f t="shared" ca="1" si="10"/>
        <v>0</v>
      </c>
      <c r="H18" s="25">
        <f t="shared" ca="1" si="10"/>
        <v>16020.094627900005</v>
      </c>
      <c r="I18" s="25">
        <f t="shared" ca="1" si="10"/>
        <v>0</v>
      </c>
      <c r="J18" s="25">
        <f t="shared" ca="1" si="10"/>
        <v>8540.5396053000022</v>
      </c>
      <c r="K18" s="25">
        <f t="shared" ca="1" si="10"/>
        <v>5325.9238494000019</v>
      </c>
      <c r="L18" s="22"/>
      <c r="M18" s="25">
        <f ca="1">SUM(D18:K18)</f>
        <v>53325.995501500009</v>
      </c>
      <c r="N18" s="25">
        <f ca="1">SUM(C18:K18)</f>
        <v>95640.474603300012</v>
      </c>
    </row>
    <row r="19" spans="1:14" s="18" customFormat="1" x14ac:dyDescent="0.25">
      <c r="A19" s="26" t="s">
        <v>58</v>
      </c>
      <c r="B19" s="27"/>
      <c r="C19" s="28">
        <f t="shared" ref="C19:K19" ca="1" si="11">SUM(C15:C18)</f>
        <v>1478959.0553185996</v>
      </c>
      <c r="D19" s="28">
        <f t="shared" ca="1" si="11"/>
        <v>509771.89544110018</v>
      </c>
      <c r="E19" s="28">
        <f t="shared" ca="1" si="11"/>
        <v>557954.70904730004</v>
      </c>
      <c r="F19" s="28">
        <f t="shared" ca="1" si="11"/>
        <v>407858.34262180014</v>
      </c>
      <c r="G19" s="28">
        <f t="shared" ca="1" si="11"/>
        <v>207766.00373290002</v>
      </c>
      <c r="H19" s="28">
        <f t="shared" ca="1" si="11"/>
        <v>872337.14920329989</v>
      </c>
      <c r="I19" s="28">
        <f t="shared" ca="1" si="11"/>
        <v>635300.91421119997</v>
      </c>
      <c r="J19" s="28">
        <f t="shared" ca="1" si="11"/>
        <v>738392.57444679993</v>
      </c>
      <c r="K19" s="28">
        <f t="shared" ca="1" si="11"/>
        <v>536100.153835</v>
      </c>
      <c r="L19" s="29"/>
      <c r="M19" s="28">
        <f ca="1">SUM(M15:M18)</f>
        <v>4465481.7425393993</v>
      </c>
      <c r="N19" s="28">
        <f ca="1">SUM(N15:N18)</f>
        <v>5944440.7978579989</v>
      </c>
    </row>
    <row r="20" spans="1:14" s="18" customFormat="1" x14ac:dyDescent="0.25">
      <c r="A20" s="19"/>
      <c r="C20" s="21"/>
      <c r="D20" s="21"/>
      <c r="E20" s="21"/>
      <c r="F20" s="21"/>
      <c r="G20" s="21"/>
      <c r="H20" s="21"/>
      <c r="I20" s="21"/>
      <c r="J20" s="21"/>
      <c r="K20" s="21"/>
      <c r="L20" s="22"/>
      <c r="M20" s="21"/>
      <c r="N20" s="21"/>
    </row>
    <row r="21" spans="1:14" s="18" customFormat="1" x14ac:dyDescent="0.25">
      <c r="A21" s="23" t="s">
        <v>57</v>
      </c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2"/>
      <c r="M21" s="24"/>
      <c r="N21" s="24"/>
    </row>
    <row r="22" spans="1:14" s="18" customFormat="1" x14ac:dyDescent="0.25">
      <c r="A22" s="19" t="s">
        <v>53</v>
      </c>
      <c r="C22" s="30">
        <f t="shared" ref="C22:J22" ca="1" si="12">IFERROR(C15/C$19,"n.a.")</f>
        <v>0.71799530232535536</v>
      </c>
      <c r="D22" s="30">
        <f t="shared" ca="1" si="12"/>
        <v>0.50566305735715777</v>
      </c>
      <c r="E22" s="30">
        <f t="shared" ca="1" si="12"/>
        <v>0.75656945640136941</v>
      </c>
      <c r="F22" s="30">
        <f t="shared" ca="1" si="12"/>
        <v>0.77100482166915973</v>
      </c>
      <c r="G22" s="30">
        <f t="shared" ca="1" si="12"/>
        <v>0.32718650785520959</v>
      </c>
      <c r="H22" s="30">
        <f t="shared" ca="1" si="12"/>
        <v>0.79329076447829217</v>
      </c>
      <c r="I22" s="30">
        <f t="shared" ca="1" si="12"/>
        <v>0.90252039826514041</v>
      </c>
      <c r="J22" s="30">
        <f t="shared" ca="1" si="12"/>
        <v>0.83414408867945145</v>
      </c>
      <c r="K22" s="30">
        <f t="shared" ref="K22" ca="1" si="13">IFERROR(K15/K$19,"n.a.")</f>
        <v>0.83069182603026093</v>
      </c>
      <c r="L22" s="22"/>
      <c r="M22" s="30">
        <f t="shared" ref="M22:N22" ca="1" si="14">IFERROR(M15/M$19,"n.a.")</f>
        <v>0.7589309145935218</v>
      </c>
      <c r="N22" s="30">
        <f t="shared" ca="1" si="14"/>
        <v>0.74874625694316177</v>
      </c>
    </row>
    <row r="23" spans="1:14" s="18" customFormat="1" x14ac:dyDescent="0.25">
      <c r="A23" s="19" t="s">
        <v>64</v>
      </c>
      <c r="C23" s="30">
        <f t="shared" ref="C23:K23" ca="1" si="15">IFERROR(C16/C$19,"n.a.")</f>
        <v>0.2056448211621934</v>
      </c>
      <c r="D23" s="30">
        <f t="shared" ca="1" si="15"/>
        <v>9.1674417265711378E-2</v>
      </c>
      <c r="E23" s="30">
        <f t="shared" ca="1" si="15"/>
        <v>0.10645575759799643</v>
      </c>
      <c r="F23" s="30">
        <f t="shared" ca="1" si="15"/>
        <v>0.13433484858640105</v>
      </c>
      <c r="G23" s="30">
        <f t="shared" ca="1" si="15"/>
        <v>0.62168342758015249</v>
      </c>
      <c r="H23" s="30">
        <f t="shared" ca="1" si="15"/>
        <v>9.8416977969365244E-2</v>
      </c>
      <c r="I23" s="30">
        <f t="shared" ca="1" si="15"/>
        <v>1.2573918803844808E-2</v>
      </c>
      <c r="J23" s="30">
        <f t="shared" ca="1" si="15"/>
        <v>7.827588807322744E-2</v>
      </c>
      <c r="K23" s="30">
        <f t="shared" ca="1" si="15"/>
        <v>9.4837032929761311E-2</v>
      </c>
      <c r="L23" s="22"/>
      <c r="M23" s="30">
        <f t="shared" ref="M23:N23" ca="1" si="16">IFERROR(M16/M$19,"n.a.")</f>
        <v>0.1103052977721259</v>
      </c>
      <c r="N23" s="30">
        <f t="shared" ca="1" si="16"/>
        <v>0.13402548546384424</v>
      </c>
    </row>
    <row r="24" spans="1:14" s="18" customFormat="1" x14ac:dyDescent="0.25">
      <c r="A24" s="19" t="s">
        <v>62</v>
      </c>
      <c r="C24" s="30">
        <f t="shared" ref="C24:K24" ca="1" si="17">IFERROR(C17/C$19,"n.a.")</f>
        <v>4.7748888973864943E-2</v>
      </c>
      <c r="D24" s="30">
        <f t="shared" ca="1" si="17"/>
        <v>0.3760126944076444</v>
      </c>
      <c r="E24" s="30">
        <f t="shared" ca="1" si="17"/>
        <v>0.11931367047886407</v>
      </c>
      <c r="F24" s="30">
        <f t="shared" ca="1" si="17"/>
        <v>9.4660329744439081E-2</v>
      </c>
      <c r="G24" s="30">
        <f t="shared" ca="1" si="17"/>
        <v>5.1130064564637999E-2</v>
      </c>
      <c r="H24" s="30">
        <f t="shared" ca="1" si="17"/>
        <v>8.9927689859070431E-2</v>
      </c>
      <c r="I24" s="30">
        <f t="shared" ca="1" si="17"/>
        <v>8.4905682931014817E-2</v>
      </c>
      <c r="J24" s="30">
        <f t="shared" ca="1" si="17"/>
        <v>7.6013629027148269E-2</v>
      </c>
      <c r="K24" s="30">
        <f t="shared" ca="1" si="17"/>
        <v>6.4536572263414319E-2</v>
      </c>
      <c r="L24" s="22"/>
      <c r="M24" s="30">
        <f t="shared" ref="M24:N24" ca="1" si="18">IFERROR(M17/M$19,"n.a.")</f>
        <v>0.11882196397991847</v>
      </c>
      <c r="N24" s="30">
        <f t="shared" ca="1" si="18"/>
        <v>0.10113919592082408</v>
      </c>
    </row>
    <row r="25" spans="1:14" s="18" customFormat="1" x14ac:dyDescent="0.25">
      <c r="A25" s="23" t="s">
        <v>63</v>
      </c>
      <c r="B25" s="24"/>
      <c r="C25" s="31">
        <f t="shared" ref="C25:K25" ca="1" si="19">IFERROR(C18/C$19,"n.a.")</f>
        <v>2.8610987538586419E-2</v>
      </c>
      <c r="D25" s="31">
        <f t="shared" ca="1" si="19"/>
        <v>2.6649830969486372E-2</v>
      </c>
      <c r="E25" s="31">
        <f t="shared" ca="1" si="19"/>
        <v>1.7661115521770115E-2</v>
      </c>
      <c r="F25" s="31">
        <f t="shared" ca="1" si="19"/>
        <v>0</v>
      </c>
      <c r="G25" s="31">
        <f t="shared" ca="1" si="19"/>
        <v>0</v>
      </c>
      <c r="H25" s="31">
        <f t="shared" ca="1" si="19"/>
        <v>1.8364567693272101E-2</v>
      </c>
      <c r="I25" s="31">
        <f t="shared" ca="1" si="19"/>
        <v>0</v>
      </c>
      <c r="J25" s="31">
        <f t="shared" ca="1" si="19"/>
        <v>1.1566394220172829E-2</v>
      </c>
      <c r="K25" s="31">
        <f t="shared" ca="1" si="19"/>
        <v>9.9345687765633548E-3</v>
      </c>
      <c r="L25" s="22"/>
      <c r="M25" s="31">
        <f t="shared" ref="M25:N25" ca="1" si="20">IFERROR(M18/M$19,"n.a.")</f>
        <v>1.1941823654433968E-2</v>
      </c>
      <c r="N25" s="31">
        <f t="shared" ca="1" si="20"/>
        <v>1.608906167216987E-2</v>
      </c>
    </row>
    <row r="26" spans="1:14" x14ac:dyDescent="0.2">
      <c r="A26" s="14" t="s">
        <v>60</v>
      </c>
      <c r="L26" s="10"/>
    </row>
    <row r="27" spans="1:14" x14ac:dyDescent="0.2">
      <c r="A27" s="1"/>
    </row>
    <row r="28" spans="1:14" x14ac:dyDescent="0.2">
      <c r="A28" s="1"/>
    </row>
    <row r="29" spans="1:14" x14ac:dyDescent="0.2">
      <c r="A29" s="1"/>
    </row>
    <row r="30" spans="1:14" x14ac:dyDescent="0.2">
      <c r="A30" s="1"/>
    </row>
    <row r="31" spans="1:14" x14ac:dyDescent="0.2">
      <c r="A31" s="1"/>
    </row>
    <row r="32" spans="1:14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</sheetData>
  <conditionalFormatting sqref="B4:B11">
    <cfRule type="cellIs" dxfId="0" priority="4" operator="equal">
      <formula>"Y"</formula>
    </cfRule>
  </conditionalFormatting>
  <printOptions horizontalCentered="1"/>
  <pageMargins left="0.45" right="0.45" top="0.5" bottom="0.75" header="0.3" footer="0.3"/>
  <pageSetup orientation="landscape" r:id="rId1"/>
  <headerFooter>
    <oddFooter>&amp;L&amp;7&amp;F&amp;R&amp;"-,Italic"&amp;6&amp;D   &amp;T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MetVancOnly">
          <controlPr defaultSize="0" autoLine="0" r:id="rId5">
            <anchor moveWithCells="1">
              <from>
                <xdr:col>0</xdr:col>
                <xdr:colOff>38100</xdr:colOff>
                <xdr:row>2</xdr:row>
                <xdr:rowOff>447675</xdr:rowOff>
              </from>
              <to>
                <xdr:col>0</xdr:col>
                <xdr:colOff>1962150</xdr:colOff>
                <xdr:row>2</xdr:row>
                <xdr:rowOff>733425</xdr:rowOff>
              </to>
            </anchor>
          </controlPr>
        </control>
      </mc:Choice>
      <mc:Fallback>
        <control shapeId="1026" r:id="rId4" name="MetVancOnly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print="0" autoLine="0" r:id="rId7">
            <anchor moveWithCells="1">
              <from>
                <xdr:col>0</xdr:col>
                <xdr:colOff>142875</xdr:colOff>
                <xdr:row>2</xdr:row>
                <xdr:rowOff>28575</xdr:rowOff>
              </from>
              <to>
                <xdr:col>0</xdr:col>
                <xdr:colOff>1638300</xdr:colOff>
                <xdr:row>2</xdr:row>
                <xdr:rowOff>352425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144"/>
  <sheetViews>
    <sheetView workbookViewId="0">
      <selection activeCell="L44" sqref="L44"/>
    </sheetView>
  </sheetViews>
  <sheetFormatPr defaultColWidth="6.28515625" defaultRowHeight="11.25" x14ac:dyDescent="0.2"/>
  <cols>
    <col min="1" max="1" width="6.28515625" style="1"/>
    <col min="2" max="2" width="6.5703125" style="1" bestFit="1" customWidth="1"/>
    <col min="3" max="9" width="6.42578125" style="1" bestFit="1" customWidth="1"/>
    <col min="10" max="10" width="6.28515625" style="1" customWidth="1"/>
    <col min="11" max="14" width="6.42578125" style="1" bestFit="1" customWidth="1"/>
    <col min="15" max="15" width="6.5703125" style="1" bestFit="1" customWidth="1"/>
    <col min="16" max="16" width="7.7109375" style="1" customWidth="1"/>
    <col min="17" max="17" width="7.7109375" style="2" customWidth="1"/>
    <col min="18" max="18" width="33.42578125" style="1" customWidth="1"/>
    <col min="19" max="28" width="9.7109375" style="1" customWidth="1"/>
    <col min="29" max="16384" width="6.28515625" style="1"/>
  </cols>
  <sheetData>
    <row r="1" spans="1:20" x14ac:dyDescent="0.2">
      <c r="A1" s="1" t="s">
        <v>44</v>
      </c>
    </row>
    <row r="2" spans="1:20" x14ac:dyDescent="0.2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 t="s">
        <v>43</v>
      </c>
      <c r="Q2" s="2" t="s">
        <v>61</v>
      </c>
      <c r="R2" s="1" t="s">
        <v>11</v>
      </c>
      <c r="S2" s="7">
        <f ca="1">OFFSET(A1,16,15)</f>
        <v>2771697.8766009002</v>
      </c>
      <c r="T2" s="1">
        <f ca="1">OFFSET(A1,17,15)</f>
        <v>2400221.0413879007</v>
      </c>
    </row>
    <row r="3" spans="1:20" x14ac:dyDescent="0.2">
      <c r="A3" s="1">
        <v>1</v>
      </c>
      <c r="B3" s="1">
        <f t="shared" ref="B3:O16" ca="1" si="0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25085.723400000003</v>
      </c>
      <c r="C3" s="1">
        <f t="shared" ca="1" si="0"/>
        <v>13032.204829999999</v>
      </c>
      <c r="D3" s="1">
        <f t="shared" ca="1" si="0"/>
        <v>3869.7541537999996</v>
      </c>
      <c r="E3" s="1">
        <f t="shared" ca="1" si="0"/>
        <v>4523.5593755999998</v>
      </c>
      <c r="F3" s="1">
        <f t="shared" ca="1" si="0"/>
        <v>2003.4638011</v>
      </c>
      <c r="G3" s="1">
        <f t="shared" ca="1" si="0"/>
        <v>429.19532739999994</v>
      </c>
      <c r="H3" s="1">
        <f t="shared" ca="1" si="0"/>
        <v>628.33448699999997</v>
      </c>
      <c r="I3" s="1">
        <f t="shared" ca="1" si="0"/>
        <v>80.984865200000002</v>
      </c>
      <c r="J3" s="1">
        <f t="shared" ca="1" si="0"/>
        <v>390.05593169999997</v>
      </c>
      <c r="K3" s="1">
        <f t="shared" ca="1" si="0"/>
        <v>19.679820400000001</v>
      </c>
      <c r="L3" s="1">
        <f t="shared" ca="1" si="0"/>
        <v>108.12760469999999</v>
      </c>
      <c r="M3" s="1">
        <f t="shared" ca="1" si="0"/>
        <v>46.57573</v>
      </c>
      <c r="N3" s="1">
        <f t="shared" ca="1" si="0"/>
        <v>10.321524999999998</v>
      </c>
      <c r="O3" s="1">
        <f t="shared" ca="1" si="0"/>
        <v>25.3094246</v>
      </c>
      <c r="P3" s="1">
        <f ca="1">SUM(OFFSET($A$1,2,1,1,14))</f>
        <v>50253.290276499996</v>
      </c>
      <c r="Q3" s="2">
        <f ca="1">SUM(OFFSET($A$1,2,1,1,12))</f>
        <v>50217.6593269</v>
      </c>
      <c r="R3" s="1" t="s">
        <v>12</v>
      </c>
      <c r="S3" s="7">
        <f ca="1">OFFSET(A1,34,15)</f>
        <v>2336950.6038217996</v>
      </c>
      <c r="T3" s="1">
        <f ca="1">OFFSET(A1,35,15)</f>
        <v>2018429.4012426995</v>
      </c>
    </row>
    <row r="4" spans="1:20" x14ac:dyDescent="0.2">
      <c r="A4" s="1">
        <v>2</v>
      </c>
      <c r="B4" s="1">
        <f t="shared" ca="1" si="0"/>
        <v>12538.179440000002</v>
      </c>
      <c r="C4" s="1">
        <f t="shared" ca="1" si="0"/>
        <v>91381.182400000005</v>
      </c>
      <c r="D4" s="1">
        <f t="shared" ca="1" si="0"/>
        <v>6982.9819817999996</v>
      </c>
      <c r="E4" s="1">
        <f t="shared" ca="1" si="0"/>
        <v>15500.716876999999</v>
      </c>
      <c r="F4" s="1">
        <f t="shared" ca="1" si="0"/>
        <v>11451.705357400002</v>
      </c>
      <c r="G4" s="1">
        <f t="shared" ca="1" si="0"/>
        <v>2918.7236272999999</v>
      </c>
      <c r="H4" s="1">
        <f t="shared" ca="1" si="0"/>
        <v>1774.9723104</v>
      </c>
      <c r="I4" s="1">
        <f t="shared" ca="1" si="0"/>
        <v>408.10622499999994</v>
      </c>
      <c r="J4" s="1">
        <f t="shared" ca="1" si="0"/>
        <v>2310.8577633</v>
      </c>
      <c r="K4" s="1">
        <f t="shared" ca="1" si="0"/>
        <v>181.2785671</v>
      </c>
      <c r="L4" s="1">
        <f t="shared" ca="1" si="0"/>
        <v>578.05160310000019</v>
      </c>
      <c r="M4" s="1">
        <f t="shared" ca="1" si="0"/>
        <v>385.40927779999998</v>
      </c>
      <c r="N4" s="1">
        <f t="shared" ca="1" si="0"/>
        <v>27.041506300000002</v>
      </c>
      <c r="O4" s="1">
        <f t="shared" ca="1" si="0"/>
        <v>95.177143000000001</v>
      </c>
      <c r="P4" s="1">
        <f ca="1">SUM(OFFSET($A$1,3,1,1,14))</f>
        <v>146534.38407950004</v>
      </c>
      <c r="Q4" s="2">
        <f ca="1">SUM(OFFSET($A$1,3,1,1,12))</f>
        <v>146412.16543020002</v>
      </c>
      <c r="R4" s="1" t="s">
        <v>13</v>
      </c>
      <c r="S4" s="7">
        <f ca="1">OFFSET(A1,52,15)</f>
        <v>37482.155531799996</v>
      </c>
      <c r="T4" s="1">
        <f ca="1">OFFSET(A1,53,15)</f>
        <v>32227.354385799983</v>
      </c>
    </row>
    <row r="5" spans="1:20" x14ac:dyDescent="0.2">
      <c r="A5" s="1">
        <v>3</v>
      </c>
      <c r="B5" s="1">
        <f t="shared" ca="1" si="0"/>
        <v>5313.6724696000001</v>
      </c>
      <c r="C5" s="1">
        <f t="shared" ca="1" si="0"/>
        <v>9888.469226199999</v>
      </c>
      <c r="D5" s="1">
        <f t="shared" ca="1" si="0"/>
        <v>21559.680206999998</v>
      </c>
      <c r="E5" s="1">
        <f t="shared" ca="1" si="0"/>
        <v>47539.502648000001</v>
      </c>
      <c r="F5" s="1">
        <f t="shared" ca="1" si="0"/>
        <v>14276.806282700001</v>
      </c>
      <c r="G5" s="1">
        <f t="shared" ca="1" si="0"/>
        <v>6962.7169763000011</v>
      </c>
      <c r="H5" s="1">
        <f t="shared" ca="1" si="0"/>
        <v>8313.0688814999994</v>
      </c>
      <c r="I5" s="1">
        <f t="shared" ca="1" si="0"/>
        <v>1543.4903886999998</v>
      </c>
      <c r="J5" s="1">
        <f t="shared" ca="1" si="0"/>
        <v>8056.9697029999998</v>
      </c>
      <c r="K5" s="1">
        <f t="shared" ca="1" si="0"/>
        <v>1275.4580933000002</v>
      </c>
      <c r="L5" s="1">
        <f t="shared" ca="1" si="0"/>
        <v>1378.9715647000003</v>
      </c>
      <c r="M5" s="1">
        <f t="shared" ca="1" si="0"/>
        <v>1052.8497329000002</v>
      </c>
      <c r="N5" s="1">
        <f t="shared" ca="1" si="0"/>
        <v>182.3281044</v>
      </c>
      <c r="O5" s="1">
        <f t="shared" ca="1" si="0"/>
        <v>447.85114810000005</v>
      </c>
      <c r="P5" s="1">
        <f ca="1">SUM(OFFSET($A$1,4,1,1,14))</f>
        <v>127791.83542639998</v>
      </c>
      <c r="Q5" s="2">
        <f ca="1">SUM(OFFSET($A$1,4,1,1,12))</f>
        <v>127161.65617389997</v>
      </c>
      <c r="R5" s="1" t="s">
        <v>14</v>
      </c>
      <c r="S5" s="7">
        <f ca="1">OFFSET(A1,70,15)</f>
        <v>426172.69141059997</v>
      </c>
      <c r="T5" s="1">
        <f ca="1">OFFSET(A1,71,15)</f>
        <v>411938.90911210002</v>
      </c>
    </row>
    <row r="6" spans="1:20" x14ac:dyDescent="0.2">
      <c r="A6" s="1">
        <v>4</v>
      </c>
      <c r="B6" s="1">
        <f t="shared" ca="1" si="0"/>
        <v>4412.0299553999994</v>
      </c>
      <c r="C6" s="1">
        <f t="shared" ca="1" si="0"/>
        <v>15311.269097</v>
      </c>
      <c r="D6" s="1">
        <f t="shared" ca="1" si="0"/>
        <v>32806.247259999996</v>
      </c>
      <c r="E6" s="1">
        <f t="shared" ca="1" si="0"/>
        <v>291223.92920000001</v>
      </c>
      <c r="F6" s="1">
        <f t="shared" ca="1" si="0"/>
        <v>56204.933579999997</v>
      </c>
      <c r="G6" s="1">
        <f t="shared" ca="1" si="0"/>
        <v>11174.242189200002</v>
      </c>
      <c r="H6" s="1">
        <f t="shared" ca="1" si="0"/>
        <v>36228.469245</v>
      </c>
      <c r="I6" s="1">
        <f t="shared" ca="1" si="0"/>
        <v>4747.5237269000008</v>
      </c>
      <c r="J6" s="1">
        <f t="shared" ca="1" si="0"/>
        <v>17639.931447699997</v>
      </c>
      <c r="K6" s="1">
        <f t="shared" ca="1" si="0"/>
        <v>2049.4476533000006</v>
      </c>
      <c r="L6" s="1">
        <f t="shared" ca="1" si="0"/>
        <v>1937.5782257999999</v>
      </c>
      <c r="M6" s="1">
        <f t="shared" ca="1" si="0"/>
        <v>2042.1001295000001</v>
      </c>
      <c r="N6" s="1">
        <f t="shared" ca="1" si="0"/>
        <v>154.67402759999996</v>
      </c>
      <c r="O6" s="1">
        <f t="shared" ca="1" si="0"/>
        <v>630.42832050000004</v>
      </c>
      <c r="P6" s="1">
        <f ca="1">SUM(OFFSET($A$1,5,1,1,14))</f>
        <v>476562.80405790004</v>
      </c>
      <c r="Q6" s="2">
        <f ca="1">SUM(OFFSET($A$1,5,1,1,12))</f>
        <v>475777.70170980005</v>
      </c>
      <c r="R6" s="1" t="s">
        <v>15</v>
      </c>
      <c r="S6" s="7">
        <f ca="1">OFFSET(A1,88,15)</f>
        <v>385479.0998653</v>
      </c>
      <c r="T6" s="1">
        <f ca="1">OFFSET(A1,89,15)</f>
        <v>384767.65463189979</v>
      </c>
    </row>
    <row r="7" spans="1:20" x14ac:dyDescent="0.2">
      <c r="A7" s="1">
        <v>5</v>
      </c>
      <c r="B7" s="1">
        <f t="shared" ca="1" si="0"/>
        <v>2072.1922743000005</v>
      </c>
      <c r="C7" s="1">
        <f t="shared" ca="1" si="0"/>
        <v>11339.0704336</v>
      </c>
      <c r="D7" s="1">
        <f t="shared" ca="1" si="0"/>
        <v>9862.3143278000007</v>
      </c>
      <c r="E7" s="1">
        <f t="shared" ca="1" si="0"/>
        <v>53373.011760000001</v>
      </c>
      <c r="F7" s="1">
        <f t="shared" ca="1" si="0"/>
        <v>160314.51449999999</v>
      </c>
      <c r="G7" s="1">
        <f t="shared" ca="1" si="0"/>
        <v>32101.008170000008</v>
      </c>
      <c r="H7" s="1">
        <f t="shared" ca="1" si="0"/>
        <v>13322.654505</v>
      </c>
      <c r="I7" s="1">
        <f t="shared" ca="1" si="0"/>
        <v>4220.5005239000002</v>
      </c>
      <c r="J7" s="1">
        <f t="shared" ca="1" si="0"/>
        <v>28015.013518999996</v>
      </c>
      <c r="K7" s="1">
        <f t="shared" ca="1" si="0"/>
        <v>2407.0669103999999</v>
      </c>
      <c r="L7" s="1">
        <f t="shared" ca="1" si="0"/>
        <v>4853.8750397000003</v>
      </c>
      <c r="M7" s="1">
        <f t="shared" ca="1" si="0"/>
        <v>4719.6583590999999</v>
      </c>
      <c r="N7" s="1">
        <f t="shared" ca="1" si="0"/>
        <v>366.9771326</v>
      </c>
      <c r="O7" s="1">
        <f t="shared" ca="1" si="0"/>
        <v>1953.2222310000002</v>
      </c>
      <c r="P7" s="1">
        <f ca="1">SUM(OFFSET($A$1,6,1,1,14))</f>
        <v>328921.0796863999</v>
      </c>
      <c r="Q7" s="2">
        <f ca="1">SUM(OFFSET($A$1,6,1,1,12))</f>
        <v>326600.8803227999</v>
      </c>
      <c r="R7" s="1" t="s">
        <v>16</v>
      </c>
      <c r="S7" s="7">
        <f ca="1">OFFSET(A1,106,15)</f>
        <v>647788.939212</v>
      </c>
      <c r="T7" s="1">
        <f ca="1">OFFSET(A1,107,15)</f>
        <v>601215.9624943001</v>
      </c>
    </row>
    <row r="8" spans="1:20" x14ac:dyDescent="0.2">
      <c r="A8" s="1">
        <v>6</v>
      </c>
      <c r="B8" s="1">
        <f t="shared" ca="1" si="0"/>
        <v>393.2511533</v>
      </c>
      <c r="C8" s="1">
        <f t="shared" ca="1" si="0"/>
        <v>2811.4853623000004</v>
      </c>
      <c r="D8" s="1">
        <f t="shared" ca="1" si="0"/>
        <v>4405.5020288000005</v>
      </c>
      <c r="E8" s="1">
        <f t="shared" ca="1" si="0"/>
        <v>10763.403999200002</v>
      </c>
      <c r="F8" s="1">
        <f t="shared" ca="1" si="0"/>
        <v>30566.516810000001</v>
      </c>
      <c r="G8" s="1">
        <f t="shared" ca="1" si="0"/>
        <v>129585.43550000002</v>
      </c>
      <c r="H8" s="1">
        <f t="shared" ca="1" si="0"/>
        <v>2522.5960001000008</v>
      </c>
      <c r="I8" s="1">
        <f t="shared" ca="1" si="0"/>
        <v>1204.9468489000001</v>
      </c>
      <c r="J8" s="1">
        <f t="shared" ca="1" si="0"/>
        <v>11741.988628999999</v>
      </c>
      <c r="K8" s="1">
        <f t="shared" ca="1" si="0"/>
        <v>972.66908409999996</v>
      </c>
      <c r="L8" s="1">
        <f t="shared" ca="1" si="0"/>
        <v>11613.322549999999</v>
      </c>
      <c r="M8" s="1">
        <f t="shared" ca="1" si="0"/>
        <v>3366.4937932999997</v>
      </c>
      <c r="N8" s="1">
        <f t="shared" ca="1" si="0"/>
        <v>828.56934490000003</v>
      </c>
      <c r="O8" s="1">
        <f t="shared" ca="1" si="0"/>
        <v>1364.7368769000004</v>
      </c>
      <c r="P8" s="1">
        <f ca="1">SUM(OFFSET($A$1,7,1,1,14))</f>
        <v>212140.9179808</v>
      </c>
      <c r="Q8" s="2">
        <f ca="1">SUM(OFFSET($A$1,7,1,1,12))</f>
        <v>209947.61175900002</v>
      </c>
      <c r="R8" s="1" t="s">
        <v>17</v>
      </c>
      <c r="S8" s="7">
        <f ca="1">OFFSET(A1,124,15)</f>
        <v>99524.911043799992</v>
      </c>
      <c r="T8" s="1">
        <f ca="1">OFFSET(A1,125,15)</f>
        <v>95640.474603299983</v>
      </c>
    </row>
    <row r="9" spans="1:20" x14ac:dyDescent="0.2">
      <c r="A9" s="1">
        <v>7</v>
      </c>
      <c r="B9" s="1">
        <f t="shared" ca="1" si="0"/>
        <v>626.34039389999998</v>
      </c>
      <c r="C9" s="1">
        <f t="shared" ca="1" si="0"/>
        <v>1862.3496909999999</v>
      </c>
      <c r="D9" s="1">
        <f t="shared" ca="1" si="0"/>
        <v>6076.9526749000006</v>
      </c>
      <c r="E9" s="1">
        <f t="shared" ca="1" si="0"/>
        <v>37967.490383999997</v>
      </c>
      <c r="F9" s="1">
        <f t="shared" ca="1" si="0"/>
        <v>13405.999837000001</v>
      </c>
      <c r="G9" s="1">
        <f t="shared" ca="1" si="0"/>
        <v>2781.0873747999999</v>
      </c>
      <c r="H9" s="1">
        <f t="shared" ca="1" si="0"/>
        <v>142164.07659999997</v>
      </c>
      <c r="I9" s="1">
        <f t="shared" ca="1" si="0"/>
        <v>8627.4450680000009</v>
      </c>
      <c r="J9" s="1">
        <f t="shared" ca="1" si="0"/>
        <v>15143.295601</v>
      </c>
      <c r="K9" s="1">
        <f t="shared" ca="1" si="0"/>
        <v>3453.4014384000006</v>
      </c>
      <c r="L9" s="1">
        <f t="shared" ca="1" si="0"/>
        <v>613.79877820000002</v>
      </c>
      <c r="M9" s="1">
        <f t="shared" ca="1" si="0"/>
        <v>1705.6886929</v>
      </c>
      <c r="N9" s="1">
        <f t="shared" ca="1" si="0"/>
        <v>53.603288200000001</v>
      </c>
      <c r="O9" s="1">
        <f t="shared" ca="1" si="0"/>
        <v>329.0127708</v>
      </c>
      <c r="P9" s="1">
        <f ca="1">SUM(OFFSET($A$1,8,1,1,14))</f>
        <v>234810.54259309999</v>
      </c>
      <c r="Q9" s="2">
        <f ca="1">SUM(OFFSET($A$1,8,1,1,12))</f>
        <v>234427.92653409997</v>
      </c>
      <c r="R9" s="1" t="s">
        <v>18</v>
      </c>
      <c r="S9" s="7">
        <f ca="1">OFFSET(A1,142,15)</f>
        <v>39630.749721100001</v>
      </c>
      <c r="T9" s="1">
        <f ca="1">OFFSET(A1,143,15)</f>
        <v>27380.420205500002</v>
      </c>
    </row>
    <row r="10" spans="1:20" x14ac:dyDescent="0.2">
      <c r="A10" s="1">
        <v>8</v>
      </c>
      <c r="B10" s="1">
        <f t="shared" ca="1" si="0"/>
        <v>94.646941300000009</v>
      </c>
      <c r="C10" s="1">
        <f t="shared" ca="1" si="0"/>
        <v>412.55163750000003</v>
      </c>
      <c r="D10" s="1">
        <f t="shared" ca="1" si="0"/>
        <v>1268.3063323000001</v>
      </c>
      <c r="E10" s="1">
        <f t="shared" ca="1" si="0"/>
        <v>5010.7618621000001</v>
      </c>
      <c r="F10" s="1">
        <f t="shared" ca="1" si="0"/>
        <v>3634.7224774999995</v>
      </c>
      <c r="G10" s="1">
        <f t="shared" ca="1" si="0"/>
        <v>1092.2543188</v>
      </c>
      <c r="H10" s="1">
        <f t="shared" ca="1" si="0"/>
        <v>9183.9464879999996</v>
      </c>
      <c r="I10" s="1">
        <f t="shared" ca="1" si="0"/>
        <v>31656.737499999999</v>
      </c>
      <c r="J10" s="1">
        <f t="shared" ca="1" si="0"/>
        <v>12339.619626000002</v>
      </c>
      <c r="K10" s="1">
        <f t="shared" ca="1" si="0"/>
        <v>2469.6265274000002</v>
      </c>
      <c r="L10" s="1">
        <f t="shared" ca="1" si="0"/>
        <v>338.18805519999995</v>
      </c>
      <c r="M10" s="1">
        <f t="shared" ca="1" si="0"/>
        <v>1781.9157785999998</v>
      </c>
      <c r="N10" s="1">
        <f t="shared" ca="1" si="0"/>
        <v>59.857670099999993</v>
      </c>
      <c r="O10" s="1">
        <f t="shared" ca="1" si="0"/>
        <v>278.33857189999998</v>
      </c>
      <c r="P10" s="1">
        <f ca="1">SUM(OFFSET($A$1,9,1,1,14))</f>
        <v>69621.473786699993</v>
      </c>
      <c r="Q10" s="2">
        <f ca="1">SUM(OFFSET($A$1,9,1,1,12))</f>
        <v>69283.277544699988</v>
      </c>
    </row>
    <row r="11" spans="1:20" x14ac:dyDescent="0.2">
      <c r="A11" s="1">
        <v>9</v>
      </c>
      <c r="B11" s="1">
        <f t="shared" ca="1" si="0"/>
        <v>414.36021510000006</v>
      </c>
      <c r="C11" s="1">
        <f t="shared" ca="1" si="0"/>
        <v>2273.7926993999995</v>
      </c>
      <c r="D11" s="1">
        <f t="shared" ca="1" si="0"/>
        <v>4761.9679096999998</v>
      </c>
      <c r="E11" s="1">
        <f t="shared" ca="1" si="0"/>
        <v>16387.6027073</v>
      </c>
      <c r="F11" s="1">
        <f t="shared" ca="1" si="0"/>
        <v>27324.936563000003</v>
      </c>
      <c r="G11" s="1">
        <f t="shared" ca="1" si="0"/>
        <v>11733.749081999998</v>
      </c>
      <c r="H11" s="1">
        <f t="shared" ca="1" si="0"/>
        <v>15257.657745999997</v>
      </c>
      <c r="I11" s="1">
        <f t="shared" ca="1" si="0"/>
        <v>12404.641250999999</v>
      </c>
      <c r="J11" s="1">
        <f t="shared" ca="1" si="0"/>
        <v>261000.58499999996</v>
      </c>
      <c r="K11" s="1">
        <f t="shared" ca="1" si="0"/>
        <v>18132.38724</v>
      </c>
      <c r="L11" s="1">
        <f t="shared" ca="1" si="0"/>
        <v>3898.5657748000003</v>
      </c>
      <c r="M11" s="1">
        <f t="shared" ca="1" si="0"/>
        <v>35384.581910000001</v>
      </c>
      <c r="N11" s="1">
        <f t="shared" ca="1" si="0"/>
        <v>572.35945119999997</v>
      </c>
      <c r="O11" s="1">
        <f t="shared" ca="1" si="0"/>
        <v>5810.2424795000006</v>
      </c>
      <c r="P11" s="1">
        <f ca="1">SUM(OFFSET($A$1,10,1,1,14))</f>
        <v>415357.43002900004</v>
      </c>
      <c r="Q11" s="2">
        <f ca="1">SUM(OFFSET($A$1,10,1,1,12))</f>
        <v>408974.82809830003</v>
      </c>
    </row>
    <row r="12" spans="1:20" x14ac:dyDescent="0.2">
      <c r="A12" s="1">
        <v>10</v>
      </c>
      <c r="B12" s="1">
        <f t="shared" ca="1" si="0"/>
        <v>20.4788186</v>
      </c>
      <c r="C12" s="1">
        <f t="shared" ca="1" si="0"/>
        <v>185.3355822</v>
      </c>
      <c r="D12" s="1">
        <f t="shared" ca="1" si="0"/>
        <v>800.51270820000002</v>
      </c>
      <c r="E12" s="1">
        <f t="shared" ca="1" si="0"/>
        <v>2079.4714320000003</v>
      </c>
      <c r="F12" s="1">
        <f t="shared" ca="1" si="0"/>
        <v>2243.5072871000002</v>
      </c>
      <c r="G12" s="1">
        <f t="shared" ca="1" si="0"/>
        <v>882.44463389999999</v>
      </c>
      <c r="H12" s="1">
        <f t="shared" ca="1" si="0"/>
        <v>3352.8032733999994</v>
      </c>
      <c r="I12" s="1">
        <f t="shared" ca="1" si="0"/>
        <v>2044.4630411999999</v>
      </c>
      <c r="J12" s="1">
        <f t="shared" ca="1" si="0"/>
        <v>18719.399689999998</v>
      </c>
      <c r="K12" s="1">
        <f t="shared" ca="1" si="0"/>
        <v>59706.631770000007</v>
      </c>
      <c r="L12" s="1">
        <f t="shared" ca="1" si="0"/>
        <v>382.93920869999999</v>
      </c>
      <c r="M12" s="1">
        <f t="shared" ca="1" si="0"/>
        <v>7332.3472849999998</v>
      </c>
      <c r="N12" s="1">
        <f t="shared" ca="1" si="0"/>
        <v>52.979374799999995</v>
      </c>
      <c r="O12" s="1">
        <f t="shared" ca="1" si="0"/>
        <v>966.15485130000002</v>
      </c>
      <c r="P12" s="1">
        <f ca="1">SUM(OFFSET($A$1,11,1,1,14))</f>
        <v>98769.4689564</v>
      </c>
      <c r="Q12" s="2">
        <f ca="1">SUM(OFFSET($A$1,11,1,1,12))</f>
        <v>97750.334730300005</v>
      </c>
    </row>
    <row r="13" spans="1:20" x14ac:dyDescent="0.2">
      <c r="A13" s="1">
        <v>11</v>
      </c>
      <c r="B13" s="1">
        <f t="shared" ca="1" si="0"/>
        <v>104.90686409999999</v>
      </c>
      <c r="C13" s="1">
        <f t="shared" ca="1" si="0"/>
        <v>556.51361699999995</v>
      </c>
      <c r="D13" s="1">
        <f t="shared" ca="1" si="0"/>
        <v>786.94859629999996</v>
      </c>
      <c r="E13" s="1">
        <f t="shared" ca="1" si="0"/>
        <v>1788.6707833999999</v>
      </c>
      <c r="F13" s="1">
        <f t="shared" ca="1" si="0"/>
        <v>4661.8079624000002</v>
      </c>
      <c r="G13" s="1">
        <f t="shared" ca="1" si="0"/>
        <v>10888.733859999998</v>
      </c>
      <c r="H13" s="1">
        <f t="shared" ca="1" si="0"/>
        <v>586.97572220000006</v>
      </c>
      <c r="I13" s="1">
        <f t="shared" ca="1" si="0"/>
        <v>344.95765920000002</v>
      </c>
      <c r="J13" s="1">
        <f t="shared" ca="1" si="0"/>
        <v>3793.9177612000003</v>
      </c>
      <c r="K13" s="1">
        <f t="shared" ca="1" si="0"/>
        <v>358.20829229999998</v>
      </c>
      <c r="L13" s="1">
        <f t="shared" ca="1" si="0"/>
        <v>61449.360699999997</v>
      </c>
      <c r="M13" s="1">
        <f t="shared" ca="1" si="0"/>
        <v>3000.3678923999996</v>
      </c>
      <c r="N13" s="1">
        <f t="shared" ca="1" si="0"/>
        <v>2359.03649</v>
      </c>
      <c r="O13" s="1">
        <f t="shared" ca="1" si="0"/>
        <v>2178.5239411000002</v>
      </c>
      <c r="P13" s="1">
        <f ca="1">SUM(OFFSET($A$1,12,1,1,14))</f>
        <v>92858.930141599994</v>
      </c>
      <c r="Q13" s="2">
        <f ca="1">SUM(OFFSET($A$1,12,1,1,12))</f>
        <v>88321.369710500003</v>
      </c>
    </row>
    <row r="14" spans="1:20" x14ac:dyDescent="0.2">
      <c r="A14" s="1">
        <v>12</v>
      </c>
      <c r="B14" s="1">
        <f t="shared" ca="1" si="0"/>
        <v>46.562721999999994</v>
      </c>
      <c r="C14" s="1">
        <f t="shared" ca="1" si="0"/>
        <v>351.735119</v>
      </c>
      <c r="D14" s="1">
        <f t="shared" ca="1" si="0"/>
        <v>670.17905840000003</v>
      </c>
      <c r="E14" s="1">
        <f t="shared" ca="1" si="0"/>
        <v>1912.1488751999998</v>
      </c>
      <c r="F14" s="1">
        <f t="shared" ca="1" si="0"/>
        <v>4419.4090854999995</v>
      </c>
      <c r="G14" s="1">
        <f t="shared" ca="1" si="0"/>
        <v>3440.3099259999995</v>
      </c>
      <c r="H14" s="1">
        <f t="shared" ca="1" si="0"/>
        <v>1580.3333193000001</v>
      </c>
      <c r="I14" s="1">
        <f t="shared" ca="1" si="0"/>
        <v>1600.6615855999999</v>
      </c>
      <c r="J14" s="1">
        <f t="shared" ca="1" si="0"/>
        <v>33077.289149999997</v>
      </c>
      <c r="K14" s="1">
        <f t="shared" ca="1" si="0"/>
        <v>7544.9496039999995</v>
      </c>
      <c r="L14" s="1">
        <f t="shared" ca="1" si="0"/>
        <v>3213.9445023999997</v>
      </c>
      <c r="M14" s="1">
        <f t="shared" ca="1" si="0"/>
        <v>107488.10710000001</v>
      </c>
      <c r="N14" s="1">
        <f t="shared" ca="1" si="0"/>
        <v>1378.6049246999999</v>
      </c>
      <c r="O14" s="1">
        <f t="shared" ca="1" si="0"/>
        <v>16156.741319999999</v>
      </c>
      <c r="P14" s="1">
        <f ca="1">SUM(OFFSET($A$1,13,1,1,14))</f>
        <v>182880.97629210001</v>
      </c>
      <c r="Q14" s="2">
        <f ca="1">SUM(OFFSET($A$1,13,1,1,12))</f>
        <v>165345.63004740002</v>
      </c>
    </row>
    <row r="15" spans="1:20" x14ac:dyDescent="0.2">
      <c r="A15" s="1">
        <v>13</v>
      </c>
      <c r="B15" s="1">
        <f t="shared" ca="1" si="0"/>
        <v>9.6690947999999999</v>
      </c>
      <c r="C15" s="1">
        <f t="shared" ca="1" si="0"/>
        <v>25.023714199999997</v>
      </c>
      <c r="D15" s="1">
        <f t="shared" ca="1" si="0"/>
        <v>94.454212799999993</v>
      </c>
      <c r="E15" s="1">
        <f t="shared" ca="1" si="0"/>
        <v>132.3663257</v>
      </c>
      <c r="F15" s="1">
        <f t="shared" ca="1" si="0"/>
        <v>335.38542769999998</v>
      </c>
      <c r="G15" s="1">
        <f t="shared" ca="1" si="0"/>
        <v>777.07795109999995</v>
      </c>
      <c r="H15" s="1">
        <f t="shared" ca="1" si="0"/>
        <v>50.126372400000015</v>
      </c>
      <c r="I15" s="1">
        <f t="shared" ca="1" si="0"/>
        <v>58.91752369999999</v>
      </c>
      <c r="J15" s="1">
        <f t="shared" ca="1" si="0"/>
        <v>530.7134466</v>
      </c>
      <c r="K15" s="1">
        <f t="shared" ca="1" si="0"/>
        <v>52.504132000000006</v>
      </c>
      <c r="L15" s="1">
        <f t="shared" ca="1" si="0"/>
        <v>2468.2835930000001</v>
      </c>
      <c r="M15" s="1">
        <f t="shared" ca="1" si="0"/>
        <v>1375.3156964999998</v>
      </c>
      <c r="N15" s="1">
        <f t="shared" ca="1" si="0"/>
        <v>30566.400300000001</v>
      </c>
      <c r="O15" s="1">
        <f t="shared" ca="1" si="0"/>
        <v>10584.946779999998</v>
      </c>
      <c r="P15" s="1">
        <f ca="1">SUM(OFFSET($A$1,14,1,1,14))</f>
        <v>47061.184570500001</v>
      </c>
      <c r="Q15" s="2">
        <f ca="1">SUM(OFFSET($A$1,14,1,1,12))</f>
        <v>5909.8374905000001</v>
      </c>
    </row>
    <row r="16" spans="1:20" x14ac:dyDescent="0.2">
      <c r="A16" s="1">
        <v>14</v>
      </c>
      <c r="B16" s="1">
        <f t="shared" ca="1" si="0"/>
        <v>25.762317599999999</v>
      </c>
      <c r="C16" s="1">
        <f t="shared" ca="1" si="0"/>
        <v>93.676390399999988</v>
      </c>
      <c r="D16" s="1">
        <f t="shared" ca="1" si="0"/>
        <v>286.89042069999999</v>
      </c>
      <c r="E16" s="1">
        <f t="shared" ca="1" si="0"/>
        <v>580.61722870000006</v>
      </c>
      <c r="F16" s="1">
        <f t="shared" ca="1" si="0"/>
        <v>1892.8821336999997</v>
      </c>
      <c r="G16" s="1">
        <f t="shared" ca="1" si="0"/>
        <v>1405.3288622</v>
      </c>
      <c r="H16" s="1">
        <f t="shared" ca="1" si="0"/>
        <v>321.90378169999997</v>
      </c>
      <c r="I16" s="1">
        <f t="shared" ca="1" si="0"/>
        <v>272.53372919999998</v>
      </c>
      <c r="J16" s="1">
        <f t="shared" ca="1" si="0"/>
        <v>5770.3251657000001</v>
      </c>
      <c r="K16" s="1">
        <f t="shared" ca="1" si="0"/>
        <v>973.89831709999987</v>
      </c>
      <c r="L16" s="1">
        <f t="shared" ca="1" si="0"/>
        <v>2195.7324970000004</v>
      </c>
      <c r="M16" s="1">
        <f t="shared" ca="1" si="0"/>
        <v>15285.59902</v>
      </c>
      <c r="N16" s="1">
        <f t="shared" ca="1" si="0"/>
        <v>11217.944260000002</v>
      </c>
      <c r="O16" s="1">
        <f t="shared" ca="1" si="0"/>
        <v>247810.46459999998</v>
      </c>
      <c r="P16" s="1">
        <f ca="1">SUM(OFFSET($A$1,15,1,1,14))</f>
        <v>288133.558724</v>
      </c>
      <c r="Q16" s="2">
        <f ca="1">SUM(OFFSET($A$1,15,1,1,12))</f>
        <v>29105.149863999999</v>
      </c>
    </row>
    <row r="17" spans="1:23" x14ac:dyDescent="0.2">
      <c r="A17" s="1" t="s">
        <v>43</v>
      </c>
      <c r="B17" s="1">
        <f ca="1">SUM(OFFSET($A$1,2,1,14,1))</f>
        <v>51157.776060000011</v>
      </c>
      <c r="C17" s="1">
        <f ca="1">SUM(OFFSET($A$1,2,2,14,1))</f>
        <v>149524.65979980002</v>
      </c>
      <c r="D17" s="1">
        <f ca="1">SUM(OFFSET($A$1,2,3,14,1))</f>
        <v>94232.6918725</v>
      </c>
      <c r="E17" s="1">
        <f ca="1">SUM(OFFSET($A$1,2,4,14,1))</f>
        <v>488783.25345820008</v>
      </c>
      <c r="F17" s="1">
        <f ca="1">SUM(OFFSET($A$1,2,5,14,1))</f>
        <v>332736.59110510006</v>
      </c>
      <c r="G17" s="1">
        <f ca="1">SUM(OFFSET($A$1,2,6,14,1))</f>
        <v>216172.307799</v>
      </c>
      <c r="H17" s="1">
        <f ca="1">SUM(OFFSET($A$1,2,7,14,1))</f>
        <v>235287.91873199999</v>
      </c>
      <c r="I17" s="1">
        <f ca="1">SUM(OFFSET($A$1,2,8,14,1))</f>
        <v>69215.9099365</v>
      </c>
      <c r="J17" s="1">
        <f ca="1">SUM(OFFSET($A$1,2,9,14,1))</f>
        <v>418529.96243419993</v>
      </c>
      <c r="K17" s="1">
        <f ca="1">SUM(OFFSET($A$1,2,10,14,1))</f>
        <v>99597.2074498</v>
      </c>
      <c r="L17" s="1">
        <f ca="1">SUM(OFFSET($A$1,2,11,14,1))</f>
        <v>95030.7396973</v>
      </c>
      <c r="M17" s="1">
        <f ca="1">SUM(OFFSET($A$1,2,12,14,1))</f>
        <v>184967.01039800001</v>
      </c>
      <c r="N17" s="1">
        <f ca="1">SUM(OFFSET($A$1,2,13,14,1))</f>
        <v>47830.697399800003</v>
      </c>
      <c r="O17" s="1">
        <f ca="1">SUM(OFFSET($A$1,2,14,14,1))</f>
        <v>288631.15045869997</v>
      </c>
      <c r="P17" s="1">
        <f ca="1">SUM(OFFSET($A$1,16,1,1,14))</f>
        <v>2771697.8766009002</v>
      </c>
      <c r="Q17" s="2">
        <f ca="1">SUM(OFFSET($A$1,16,1,1,12))</f>
        <v>2435236.0287424</v>
      </c>
    </row>
    <row r="18" spans="1:23" x14ac:dyDescent="0.2">
      <c r="O18" s="11" t="s">
        <v>59</v>
      </c>
      <c r="P18" s="1">
        <f ca="1">SUM(B3:M14)</f>
        <v>2400221.0413879007</v>
      </c>
    </row>
    <row r="19" spans="1:23" x14ac:dyDescent="0.2">
      <c r="A19" s="1" t="s">
        <v>45</v>
      </c>
    </row>
    <row r="20" spans="1:23" x14ac:dyDescent="0.2"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 t="s">
        <v>43</v>
      </c>
      <c r="Q20" s="2" t="s">
        <v>61</v>
      </c>
      <c r="T20" s="1" t="s">
        <v>53</v>
      </c>
      <c r="U20" s="1" t="s">
        <v>64</v>
      </c>
      <c r="V20" s="1" t="s">
        <v>62</v>
      </c>
      <c r="W20" s="1" t="s">
        <v>76</v>
      </c>
    </row>
    <row r="21" spans="1:23" ht="12" x14ac:dyDescent="0.2">
      <c r="A21" s="1">
        <v>1</v>
      </c>
      <c r="B21" s="1">
        <f t="shared" ref="B21:O34" ca="1" si="1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33760.842319999996</v>
      </c>
      <c r="C21" s="1">
        <f t="shared" ca="1" si="1"/>
        <v>12423.40595</v>
      </c>
      <c r="D21" s="1">
        <f t="shared" ca="1" si="1"/>
        <v>3047.7743299999997</v>
      </c>
      <c r="E21" s="1">
        <f t="shared" ca="1" si="1"/>
        <v>2725.8710099999998</v>
      </c>
      <c r="F21" s="1">
        <f t="shared" ca="1" si="1"/>
        <v>912.44304499999998</v>
      </c>
      <c r="G21" s="1">
        <f t="shared" ca="1" si="1"/>
        <v>122.4879385</v>
      </c>
      <c r="H21" s="1">
        <f t="shared" ca="1" si="1"/>
        <v>214.00799820000003</v>
      </c>
      <c r="I21" s="1">
        <f t="shared" ca="1" si="1"/>
        <v>17.882817800000002</v>
      </c>
      <c r="J21" s="1">
        <f t="shared" ca="1" si="1"/>
        <v>74.512314399999994</v>
      </c>
      <c r="K21" s="1">
        <f t="shared" ca="1" si="1"/>
        <v>4.0505427000000003</v>
      </c>
      <c r="L21" s="1">
        <f t="shared" ca="1" si="1"/>
        <v>19.086060400000001</v>
      </c>
      <c r="M21" s="1">
        <f t="shared" ca="1" si="1"/>
        <v>10.7802229</v>
      </c>
      <c r="N21" s="1">
        <f t="shared" ca="1" si="1"/>
        <v>1.9734225000000001</v>
      </c>
      <c r="O21" s="1">
        <f t="shared" ca="1" si="1"/>
        <v>4.8673080000000004</v>
      </c>
      <c r="P21" s="1">
        <f ca="1">SUM(OFFSET($A$19,2,1,1,14))</f>
        <v>53339.985280400004</v>
      </c>
      <c r="Q21" s="2">
        <f ca="1">SUM(OFFSET($A$19,2,1,1,12))</f>
        <v>53333.144549900004</v>
      </c>
      <c r="R21" s="13" t="s">
        <v>67</v>
      </c>
      <c r="S21" s="3">
        <v>1</v>
      </c>
      <c r="T21" s="1">
        <f ca="1">Q3+Q21+Q39</f>
        <v>104045.2786314</v>
      </c>
      <c r="U21" s="1">
        <f ca="1">Q57+Q75</f>
        <v>11113.634961899999</v>
      </c>
      <c r="V21" s="1">
        <f ca="1">Q93</f>
        <v>12765.197400200001</v>
      </c>
      <c r="W21" s="1">
        <f ca="1">Q111</f>
        <v>1606.4551077000001</v>
      </c>
    </row>
    <row r="22" spans="1:23" ht="12" x14ac:dyDescent="0.2">
      <c r="A22" s="1">
        <v>2</v>
      </c>
      <c r="B22" s="1">
        <f t="shared" ca="1" si="1"/>
        <v>11725.44175</v>
      </c>
      <c r="C22" s="1">
        <f t="shared" ca="1" si="1"/>
        <v>96405.27</v>
      </c>
      <c r="D22" s="1">
        <f t="shared" ca="1" si="1"/>
        <v>4151.3229099999999</v>
      </c>
      <c r="E22" s="1">
        <f t="shared" ca="1" si="1"/>
        <v>7934.6827999999987</v>
      </c>
      <c r="F22" s="1">
        <f t="shared" ca="1" si="1"/>
        <v>5043.1551200000004</v>
      </c>
      <c r="G22" s="1">
        <f t="shared" ca="1" si="1"/>
        <v>941.65048070000012</v>
      </c>
      <c r="H22" s="1">
        <f t="shared" ca="1" si="1"/>
        <v>553.02132949999998</v>
      </c>
      <c r="I22" s="1">
        <f t="shared" ca="1" si="1"/>
        <v>82.349028800000013</v>
      </c>
      <c r="J22" s="1">
        <f t="shared" ca="1" si="1"/>
        <v>589.43268810000006</v>
      </c>
      <c r="K22" s="1">
        <f t="shared" ca="1" si="1"/>
        <v>30.737095300000004</v>
      </c>
      <c r="L22" s="1">
        <f t="shared" ca="1" si="1"/>
        <v>127.5173231</v>
      </c>
      <c r="M22" s="1">
        <f t="shared" ca="1" si="1"/>
        <v>96.861696000000009</v>
      </c>
      <c r="N22" s="1">
        <f t="shared" ca="1" si="1"/>
        <v>5.1232496000000003</v>
      </c>
      <c r="O22" s="1">
        <f t="shared" ca="1" si="1"/>
        <v>20.410223199999997</v>
      </c>
      <c r="P22" s="1">
        <f ca="1">SUM(OFFSET($A$19,3,1,1,14))</f>
        <v>127706.97569430001</v>
      </c>
      <c r="Q22" s="2">
        <f ca="1">SUM(OFFSET($A$19,3,1,1,12))</f>
        <v>127681.44222150001</v>
      </c>
      <c r="R22" s="13" t="s">
        <v>67</v>
      </c>
      <c r="S22" s="3">
        <v>2</v>
      </c>
      <c r="T22" s="1">
        <f t="shared" ref="T22:T32" ca="1" si="2">Q4+Q22+Q40</f>
        <v>275935.08958570001</v>
      </c>
      <c r="U22" s="1">
        <f t="shared" ref="U22:U32" ca="1" si="3">Q58+Q76</f>
        <v>35538.604810199999</v>
      </c>
      <c r="V22" s="1">
        <f t="shared" ref="V22:V32" ca="1" si="4">Q94</f>
        <v>34405.783296399997</v>
      </c>
      <c r="W22" s="1">
        <f t="shared" ref="W22:W34" ca="1" si="5">Q112</f>
        <v>4808.0580005999991</v>
      </c>
    </row>
    <row r="23" spans="1:23" ht="12" x14ac:dyDescent="0.2">
      <c r="A23" s="1">
        <v>3</v>
      </c>
      <c r="B23" s="1">
        <f t="shared" ca="1" si="1"/>
        <v>2933.7067299999999</v>
      </c>
      <c r="C23" s="1">
        <f t="shared" ca="1" si="1"/>
        <v>3804.2105700000002</v>
      </c>
      <c r="D23" s="1">
        <f t="shared" ca="1" si="1"/>
        <v>18592.4084</v>
      </c>
      <c r="E23" s="1">
        <f t="shared" ca="1" si="1"/>
        <v>31297.221999999998</v>
      </c>
      <c r="F23" s="1">
        <f t="shared" ca="1" si="1"/>
        <v>4841.8960099999995</v>
      </c>
      <c r="G23" s="1">
        <f t="shared" ca="1" si="1"/>
        <v>1278.4217079</v>
      </c>
      <c r="H23" s="1">
        <f t="shared" ca="1" si="1"/>
        <v>2800.9900315999998</v>
      </c>
      <c r="I23" s="1">
        <f t="shared" ca="1" si="1"/>
        <v>334.48036139999999</v>
      </c>
      <c r="J23" s="1">
        <f t="shared" ca="1" si="1"/>
        <v>1209.0732780000001</v>
      </c>
      <c r="K23" s="1">
        <f t="shared" ca="1" si="1"/>
        <v>140.92915560000003</v>
      </c>
      <c r="L23" s="1">
        <f t="shared" ca="1" si="1"/>
        <v>171.4011884</v>
      </c>
      <c r="M23" s="1">
        <f t="shared" ca="1" si="1"/>
        <v>147.34257450000001</v>
      </c>
      <c r="N23" s="1">
        <f t="shared" ca="1" si="1"/>
        <v>18.130554899999996</v>
      </c>
      <c r="O23" s="1">
        <f t="shared" ca="1" si="1"/>
        <v>47.625944199999985</v>
      </c>
      <c r="P23" s="1">
        <f ca="1">SUM(OFFSET($A$19,4,1,1,14))</f>
        <v>67617.838506499989</v>
      </c>
      <c r="Q23" s="2">
        <f ca="1">SUM(OFFSET($A$19,4,1,1,12))</f>
        <v>67552.082007399993</v>
      </c>
      <c r="R23" s="13" t="s">
        <v>68</v>
      </c>
      <c r="S23" s="3">
        <v>3</v>
      </c>
      <c r="T23" s="1">
        <f t="shared" ca="1" si="2"/>
        <v>195990.15869029996</v>
      </c>
      <c r="U23" s="1">
        <f t="shared" ca="1" si="3"/>
        <v>123783.0159151</v>
      </c>
      <c r="V23" s="1">
        <f t="shared" ca="1" si="4"/>
        <v>107632.5033274</v>
      </c>
      <c r="W23" s="1">
        <f t="shared" ca="1" si="5"/>
        <v>14909.0008103</v>
      </c>
    </row>
    <row r="24" spans="1:23" ht="12" x14ac:dyDescent="0.2">
      <c r="A24" s="1">
        <v>4</v>
      </c>
      <c r="B24" s="1">
        <f t="shared" ca="1" si="1"/>
        <v>2492.4848999999999</v>
      </c>
      <c r="C24" s="1">
        <f t="shared" ca="1" si="1"/>
        <v>7448.2793999999994</v>
      </c>
      <c r="D24" s="1">
        <f t="shared" ca="1" si="1"/>
        <v>29540.088900000002</v>
      </c>
      <c r="E24" s="1">
        <f t="shared" ca="1" si="1"/>
        <v>290007.09899999999</v>
      </c>
      <c r="F24" s="1">
        <f t="shared" ca="1" si="1"/>
        <v>33372.952799999999</v>
      </c>
      <c r="G24" s="1">
        <f t="shared" ca="1" si="1"/>
        <v>4154.0063300000011</v>
      </c>
      <c r="H24" s="1">
        <f t="shared" ca="1" si="1"/>
        <v>19709.764200000001</v>
      </c>
      <c r="I24" s="1">
        <f t="shared" ca="1" si="1"/>
        <v>2077.2880599999999</v>
      </c>
      <c r="J24" s="1">
        <f t="shared" ca="1" si="1"/>
        <v>5393.2355639999996</v>
      </c>
      <c r="K24" s="1">
        <f t="shared" ca="1" si="1"/>
        <v>624.34360020000008</v>
      </c>
      <c r="L24" s="1">
        <f t="shared" ca="1" si="1"/>
        <v>456.83838119999996</v>
      </c>
      <c r="M24" s="1">
        <f t="shared" ca="1" si="1"/>
        <v>535.4803144</v>
      </c>
      <c r="N24" s="1">
        <f t="shared" ca="1" si="1"/>
        <v>32.532114899999996</v>
      </c>
      <c r="O24" s="1">
        <f t="shared" ca="1" si="1"/>
        <v>139.09567950000002</v>
      </c>
      <c r="P24" s="1">
        <f ca="1">SUM(OFFSET($A$19,5,1,1,14))</f>
        <v>395983.4892442</v>
      </c>
      <c r="Q24" s="2">
        <f ca="1">SUM(OFFSET($A$19,5,1,1,12))</f>
        <v>395811.86144979997</v>
      </c>
      <c r="R24" s="13" t="s">
        <v>68</v>
      </c>
      <c r="S24" s="3">
        <v>4</v>
      </c>
      <c r="T24" s="1">
        <f t="shared" ca="1" si="2"/>
        <v>879139.50849360006</v>
      </c>
      <c r="U24" s="1">
        <f t="shared" ca="1" si="3"/>
        <v>272666.14500379999</v>
      </c>
      <c r="V24" s="1">
        <f t="shared" ca="1" si="4"/>
        <v>159007.58073369996</v>
      </c>
      <c r="W24" s="1">
        <f t="shared" ca="1" si="5"/>
        <v>44162.005581200006</v>
      </c>
    </row>
    <row r="25" spans="1:23" ht="12" x14ac:dyDescent="0.2">
      <c r="A25" s="1">
        <v>5</v>
      </c>
      <c r="B25" s="1">
        <f t="shared" ca="1" si="1"/>
        <v>915.66254800000002</v>
      </c>
      <c r="C25" s="1">
        <f t="shared" ca="1" si="1"/>
        <v>4975.1591200000003</v>
      </c>
      <c r="D25" s="1">
        <f t="shared" ca="1" si="1"/>
        <v>5415.0634600000003</v>
      </c>
      <c r="E25" s="1">
        <f t="shared" ca="1" si="1"/>
        <v>32388.9643</v>
      </c>
      <c r="F25" s="1">
        <f t="shared" ca="1" si="1"/>
        <v>163756.14599999998</v>
      </c>
      <c r="G25" s="1">
        <f t="shared" ca="1" si="1"/>
        <v>18614.305899999999</v>
      </c>
      <c r="H25" s="1">
        <f t="shared" ca="1" si="1"/>
        <v>5981.7699999999995</v>
      </c>
      <c r="I25" s="1">
        <f t="shared" ca="1" si="1"/>
        <v>1283.3960830000001</v>
      </c>
      <c r="J25" s="1">
        <f t="shared" ca="1" si="1"/>
        <v>11003.743600000002</v>
      </c>
      <c r="K25" s="1">
        <f t="shared" ca="1" si="1"/>
        <v>730.22463049999999</v>
      </c>
      <c r="L25" s="1">
        <f t="shared" ca="1" si="1"/>
        <v>1529.8603185000002</v>
      </c>
      <c r="M25" s="1">
        <f t="shared" ca="1" si="1"/>
        <v>1408.5440825999999</v>
      </c>
      <c r="N25" s="1">
        <f t="shared" ca="1" si="1"/>
        <v>74.590925200000001</v>
      </c>
      <c r="O25" s="1">
        <f t="shared" ca="1" si="1"/>
        <v>363.21830389999997</v>
      </c>
      <c r="P25" s="1">
        <f ca="1">SUM(OFFSET($A$19,6,1,1,14))</f>
        <v>248440.64927169998</v>
      </c>
      <c r="Q25" s="2">
        <f ca="1">SUM(OFFSET($A$19,6,1,1,12))</f>
        <v>248002.84004259997</v>
      </c>
      <c r="R25" s="13" t="s">
        <v>69</v>
      </c>
      <c r="S25" s="3">
        <v>5</v>
      </c>
      <c r="T25" s="1">
        <f t="shared" ca="1" si="2"/>
        <v>579217.92162239982</v>
      </c>
      <c r="U25" s="1">
        <f t="shared" ca="1" si="3"/>
        <v>144356.7209519</v>
      </c>
      <c r="V25" s="1">
        <f t="shared" ca="1" si="4"/>
        <v>60668.253860899997</v>
      </c>
      <c r="W25" s="1">
        <f t="shared" ca="1" si="5"/>
        <v>8263.5765743000011</v>
      </c>
    </row>
    <row r="26" spans="1:23" ht="12" x14ac:dyDescent="0.2">
      <c r="A26" s="1">
        <v>6</v>
      </c>
      <c r="B26" s="1">
        <f t="shared" ca="1" si="1"/>
        <v>114.76682199999999</v>
      </c>
      <c r="C26" s="1">
        <f t="shared" ca="1" si="1"/>
        <v>903.91597300000012</v>
      </c>
      <c r="D26" s="1">
        <f t="shared" ca="1" si="1"/>
        <v>1783.7770616</v>
      </c>
      <c r="E26" s="1">
        <f t="shared" ca="1" si="1"/>
        <v>4432.0161700000008</v>
      </c>
      <c r="F26" s="1">
        <f t="shared" ca="1" si="1"/>
        <v>18121.7117</v>
      </c>
      <c r="G26" s="1">
        <f t="shared" ca="1" si="1"/>
        <v>156264.75110000002</v>
      </c>
      <c r="H26" s="1">
        <f t="shared" ca="1" si="1"/>
        <v>845.06185220000009</v>
      </c>
      <c r="I26" s="1">
        <f t="shared" ca="1" si="1"/>
        <v>236.87623859999999</v>
      </c>
      <c r="J26" s="1">
        <f t="shared" ca="1" si="1"/>
        <v>5556.5541699999994</v>
      </c>
      <c r="K26" s="1">
        <f t="shared" ca="1" si="1"/>
        <v>338.27134290000004</v>
      </c>
      <c r="L26" s="1">
        <f t="shared" ca="1" si="1"/>
        <v>6739.3011600000009</v>
      </c>
      <c r="M26" s="1">
        <f t="shared" ca="1" si="1"/>
        <v>1404.3835939999999</v>
      </c>
      <c r="N26" s="1">
        <f t="shared" ca="1" si="1"/>
        <v>175.1192614</v>
      </c>
      <c r="O26" s="1">
        <f t="shared" ca="1" si="1"/>
        <v>262.90213610000006</v>
      </c>
      <c r="P26" s="1">
        <f ca="1">SUM(OFFSET($A$19,7,1,1,14))</f>
        <v>197179.4085818</v>
      </c>
      <c r="Q26" s="2">
        <f ca="1">SUM(OFFSET($A$19,7,1,1,12))</f>
        <v>196741.38718430002</v>
      </c>
      <c r="R26" s="13" t="s">
        <v>70</v>
      </c>
      <c r="S26" s="3">
        <v>6</v>
      </c>
      <c r="T26" s="1">
        <f t="shared" ca="1" si="2"/>
        <v>409239.52761370002</v>
      </c>
      <c r="U26" s="1">
        <f t="shared" ca="1" si="3"/>
        <v>42953.9651878</v>
      </c>
      <c r="V26" s="1">
        <f t="shared" ca="1" si="4"/>
        <v>38679.160266999999</v>
      </c>
      <c r="W26" s="1">
        <f t="shared" ca="1" si="5"/>
        <v>4311.2000613999999</v>
      </c>
    </row>
    <row r="27" spans="1:23" ht="12" x14ac:dyDescent="0.2">
      <c r="A27" s="1">
        <v>7</v>
      </c>
      <c r="B27" s="1">
        <f t="shared" ca="1" si="1"/>
        <v>195.7222869</v>
      </c>
      <c r="C27" s="1">
        <f t="shared" ca="1" si="1"/>
        <v>562.51550589999999</v>
      </c>
      <c r="D27" s="1">
        <f t="shared" ca="1" si="1"/>
        <v>3329.2592970000005</v>
      </c>
      <c r="E27" s="1">
        <f t="shared" ca="1" si="1"/>
        <v>20843.595699999998</v>
      </c>
      <c r="F27" s="1">
        <f t="shared" ca="1" si="1"/>
        <v>6228.9314000000013</v>
      </c>
      <c r="G27" s="1">
        <f t="shared" ca="1" si="1"/>
        <v>883.52468929999986</v>
      </c>
      <c r="H27" s="1">
        <f t="shared" ca="1" si="1"/>
        <v>144023.17649999997</v>
      </c>
      <c r="I27" s="1">
        <f t="shared" ca="1" si="1"/>
        <v>4332.8022000000001</v>
      </c>
      <c r="J27" s="1">
        <f t="shared" ca="1" si="1"/>
        <v>5887.3092699999997</v>
      </c>
      <c r="K27" s="1">
        <f t="shared" ca="1" si="1"/>
        <v>1327.4138161000001</v>
      </c>
      <c r="L27" s="1">
        <f t="shared" ca="1" si="1"/>
        <v>99.820717799999997</v>
      </c>
      <c r="M27" s="1">
        <f t="shared" ca="1" si="1"/>
        <v>403.23623230000004</v>
      </c>
      <c r="N27" s="1">
        <f t="shared" ca="1" si="1"/>
        <v>9.481991899999997</v>
      </c>
      <c r="O27" s="1">
        <f t="shared" ca="1" si="1"/>
        <v>55.512763</v>
      </c>
      <c r="P27" s="1">
        <f ca="1">SUM(OFFSET($A$19,8,1,1,14))</f>
        <v>188182.30237019996</v>
      </c>
      <c r="Q27" s="2">
        <f ca="1">SUM(OFFSET($A$19,8,1,1,12))</f>
        <v>188117.30761529997</v>
      </c>
      <c r="R27" s="13" t="s">
        <v>71</v>
      </c>
      <c r="S27" s="3">
        <v>7</v>
      </c>
      <c r="T27" s="1">
        <f t="shared" ca="1" si="2"/>
        <v>425727.88140699989</v>
      </c>
      <c r="U27" s="1">
        <f t="shared" ca="1" si="3"/>
        <v>51150.94042929999</v>
      </c>
      <c r="V27" s="1">
        <f t="shared" ca="1" si="4"/>
        <v>34761.211746699999</v>
      </c>
      <c r="W27" s="1">
        <f t="shared" ca="1" si="5"/>
        <v>4285.7040271999995</v>
      </c>
    </row>
    <row r="28" spans="1:23" ht="12" x14ac:dyDescent="0.2">
      <c r="A28" s="1">
        <v>8</v>
      </c>
      <c r="B28" s="1">
        <f t="shared" ca="1" si="1"/>
        <v>22.896449700000002</v>
      </c>
      <c r="C28" s="1">
        <f t="shared" ca="1" si="1"/>
        <v>87.310780500000007</v>
      </c>
      <c r="D28" s="1">
        <f t="shared" ca="1" si="1"/>
        <v>532.94006350000006</v>
      </c>
      <c r="E28" s="1">
        <f t="shared" ca="1" si="1"/>
        <v>2523.9335100000003</v>
      </c>
      <c r="F28" s="1">
        <f t="shared" ca="1" si="1"/>
        <v>981.03955699999995</v>
      </c>
      <c r="G28" s="1">
        <f t="shared" ca="1" si="1"/>
        <v>202.88790749999995</v>
      </c>
      <c r="H28" s="1">
        <f t="shared" ca="1" si="1"/>
        <v>4973.7076499999994</v>
      </c>
      <c r="I28" s="1">
        <f t="shared" ca="1" si="1"/>
        <v>35351.109779999999</v>
      </c>
      <c r="J28" s="1">
        <f t="shared" ca="1" si="1"/>
        <v>4927.5462500000003</v>
      </c>
      <c r="K28" s="1">
        <f t="shared" ca="1" si="1"/>
        <v>1113.8944890000002</v>
      </c>
      <c r="L28" s="1">
        <f t="shared" ca="1" si="1"/>
        <v>56.015771399999998</v>
      </c>
      <c r="M28" s="1">
        <f t="shared" ca="1" si="1"/>
        <v>449.42675919999999</v>
      </c>
      <c r="N28" s="1">
        <f t="shared" ca="1" si="1"/>
        <v>11.177145199999996</v>
      </c>
      <c r="O28" s="1">
        <f t="shared" ca="1" si="1"/>
        <v>52.106848599999992</v>
      </c>
      <c r="P28" s="1">
        <f ca="1">SUM(OFFSET($A$19,9,1,1,14))</f>
        <v>51285.992961600008</v>
      </c>
      <c r="Q28" s="2">
        <f ca="1">SUM(OFFSET($A$19,9,1,1,12))</f>
        <v>51222.708967800005</v>
      </c>
      <c r="R28" s="13" t="s">
        <v>71</v>
      </c>
      <c r="S28" s="3">
        <v>8</v>
      </c>
      <c r="T28" s="1">
        <f t="shared" ca="1" si="2"/>
        <v>121505.1061241</v>
      </c>
      <c r="U28" s="1">
        <f t="shared" ca="1" si="3"/>
        <v>8744.3866338999997</v>
      </c>
      <c r="V28" s="1">
        <f t="shared" ca="1" si="4"/>
        <v>10831.965484800001</v>
      </c>
      <c r="W28" s="1">
        <f t="shared" ca="1" si="5"/>
        <v>1165.8901278999999</v>
      </c>
    </row>
    <row r="29" spans="1:23" ht="12" x14ac:dyDescent="0.2">
      <c r="A29" s="1">
        <v>9</v>
      </c>
      <c r="B29" s="1">
        <f t="shared" ca="1" si="1"/>
        <v>75.376002900000003</v>
      </c>
      <c r="C29" s="1">
        <f t="shared" ca="1" si="1"/>
        <v>568.1055824</v>
      </c>
      <c r="D29" s="1">
        <f t="shared" ca="1" si="1"/>
        <v>1595.5558994</v>
      </c>
      <c r="E29" s="1">
        <f t="shared" ca="1" si="1"/>
        <v>5299.1634670000012</v>
      </c>
      <c r="F29" s="1">
        <f t="shared" ca="1" si="1"/>
        <v>10381.5039</v>
      </c>
      <c r="G29" s="1">
        <f t="shared" ca="1" si="1"/>
        <v>5256.579380000001</v>
      </c>
      <c r="H29" s="1">
        <f t="shared" ca="1" si="1"/>
        <v>5818.3707099999992</v>
      </c>
      <c r="I29" s="1">
        <f t="shared" ca="1" si="1"/>
        <v>4750.2393499999998</v>
      </c>
      <c r="J29" s="1">
        <f t="shared" ca="1" si="1"/>
        <v>298850.61200000002</v>
      </c>
      <c r="K29" s="1">
        <f t="shared" ca="1" si="1"/>
        <v>12312.56727</v>
      </c>
      <c r="L29" s="1">
        <f t="shared" ca="1" si="1"/>
        <v>1294.1617349000001</v>
      </c>
      <c r="M29" s="1">
        <f t="shared" ca="1" si="1"/>
        <v>21413.713599999999</v>
      </c>
      <c r="N29" s="1">
        <f t="shared" ca="1" si="1"/>
        <v>104.4600727</v>
      </c>
      <c r="O29" s="1">
        <f t="shared" ca="1" si="1"/>
        <v>1365.2058600999999</v>
      </c>
      <c r="P29" s="1">
        <f ca="1">SUM(OFFSET($A$19,10,1,1,14))</f>
        <v>369085.61482939997</v>
      </c>
      <c r="Q29" s="2">
        <f ca="1">SUM(OFFSET($A$19,10,1,1,12))</f>
        <v>367615.94889659999</v>
      </c>
      <c r="R29" s="13" t="s">
        <v>72</v>
      </c>
      <c r="S29" s="3">
        <v>9</v>
      </c>
      <c r="T29" s="1">
        <f t="shared" ca="1" si="2"/>
        <v>782333.67242550012</v>
      </c>
      <c r="U29" s="1">
        <f t="shared" ca="1" si="3"/>
        <v>75551.798498599994</v>
      </c>
      <c r="V29" s="1">
        <f t="shared" ca="1" si="4"/>
        <v>79812.635062199988</v>
      </c>
      <c r="W29" s="1">
        <f t="shared" ca="1" si="5"/>
        <v>6979.9382339000013</v>
      </c>
    </row>
    <row r="30" spans="1:23" ht="12" x14ac:dyDescent="0.2">
      <c r="A30" s="1">
        <v>10</v>
      </c>
      <c r="B30" s="1">
        <f t="shared" ca="1" si="1"/>
        <v>4.4392854000000002</v>
      </c>
      <c r="C30" s="1">
        <f t="shared" ca="1" si="1"/>
        <v>35.056611800000006</v>
      </c>
      <c r="D30" s="1">
        <f t="shared" ca="1" si="1"/>
        <v>275.89172989999997</v>
      </c>
      <c r="E30" s="1">
        <f t="shared" ca="1" si="1"/>
        <v>720.37162530000012</v>
      </c>
      <c r="F30" s="1">
        <f t="shared" ca="1" si="1"/>
        <v>714.37724700000012</v>
      </c>
      <c r="G30" s="1">
        <f t="shared" ca="1" si="1"/>
        <v>315.47080659999995</v>
      </c>
      <c r="H30" s="1">
        <f t="shared" ca="1" si="1"/>
        <v>1297.9745635000002</v>
      </c>
      <c r="I30" s="1">
        <f t="shared" ca="1" si="1"/>
        <v>864.70849900000007</v>
      </c>
      <c r="J30" s="1">
        <f t="shared" ca="1" si="1"/>
        <v>12925.98767</v>
      </c>
      <c r="K30" s="1">
        <f t="shared" ca="1" si="1"/>
        <v>71062.050939999986</v>
      </c>
      <c r="L30" s="1">
        <f t="shared" ca="1" si="1"/>
        <v>81.364590500000006</v>
      </c>
      <c r="M30" s="1">
        <f t="shared" ca="1" si="1"/>
        <v>4910.5361200000007</v>
      </c>
      <c r="N30" s="1">
        <f t="shared" ca="1" si="1"/>
        <v>10.005679299999999</v>
      </c>
      <c r="O30" s="1">
        <f t="shared" ca="1" si="1"/>
        <v>210.92475240000005</v>
      </c>
      <c r="P30" s="1">
        <f ca="1">SUM(OFFSET($A$19,11,1,1,14))</f>
        <v>93429.160120699977</v>
      </c>
      <c r="Q30" s="2">
        <f ca="1">SUM(OFFSET($A$19,11,1,1,12))</f>
        <v>93208.229688999985</v>
      </c>
      <c r="R30" s="13" t="s">
        <v>72</v>
      </c>
      <c r="S30" s="3">
        <v>10</v>
      </c>
      <c r="T30" s="1">
        <f t="shared" ca="1" si="2"/>
        <v>191907.15437400001</v>
      </c>
      <c r="U30" s="1">
        <f t="shared" ca="1" si="3"/>
        <v>10157.0441295</v>
      </c>
      <c r="V30" s="1">
        <f t="shared" ca="1" si="4"/>
        <v>19127.543911700002</v>
      </c>
      <c r="W30" s="1">
        <f t="shared" ca="1" si="5"/>
        <v>1895.3601888999999</v>
      </c>
    </row>
    <row r="31" spans="1:23" ht="12" x14ac:dyDescent="0.2">
      <c r="A31" s="1">
        <v>11</v>
      </c>
      <c r="B31" s="1">
        <f t="shared" ca="1" si="1"/>
        <v>19.156440000000003</v>
      </c>
      <c r="C31" s="1">
        <f t="shared" ca="1" si="1"/>
        <v>130.20779899999999</v>
      </c>
      <c r="D31" s="1">
        <f t="shared" ca="1" si="1"/>
        <v>291.02687759999998</v>
      </c>
      <c r="E31" s="1">
        <f t="shared" ca="1" si="1"/>
        <v>507.52866730000011</v>
      </c>
      <c r="F31" s="1">
        <f t="shared" ca="1" si="1"/>
        <v>1532.6135030999999</v>
      </c>
      <c r="G31" s="1">
        <f t="shared" ca="1" si="1"/>
        <v>6466.5405000000001</v>
      </c>
      <c r="H31" s="1">
        <f t="shared" ca="1" si="1"/>
        <v>101.47262430000001</v>
      </c>
      <c r="I31" s="1">
        <f t="shared" ca="1" si="1"/>
        <v>57.250324899999995</v>
      </c>
      <c r="J31" s="1">
        <f t="shared" ca="1" si="1"/>
        <v>1338.317869</v>
      </c>
      <c r="K31" s="1">
        <f t="shared" ca="1" si="1"/>
        <v>74.237828199999996</v>
      </c>
      <c r="L31" s="1">
        <f t="shared" ca="1" si="1"/>
        <v>74476.180299999993</v>
      </c>
      <c r="M31" s="1">
        <f t="shared" ca="1" si="1"/>
        <v>1356.3764570000001</v>
      </c>
      <c r="N31" s="1">
        <f t="shared" ca="1" si="1"/>
        <v>1572.7312310000002</v>
      </c>
      <c r="O31" s="1">
        <f t="shared" ca="1" si="1"/>
        <v>777.05463899999984</v>
      </c>
      <c r="P31" s="1">
        <f ca="1">SUM(OFFSET($A$19,12,1,1,14))</f>
        <v>88700.695060400001</v>
      </c>
      <c r="Q31" s="2">
        <f ca="1">SUM(OFFSET($A$19,12,1,1,12))</f>
        <v>86350.909190400009</v>
      </c>
      <c r="R31" s="13" t="s">
        <v>73</v>
      </c>
      <c r="S31" s="3">
        <v>11</v>
      </c>
      <c r="T31" s="1">
        <f t="shared" ca="1" si="2"/>
        <v>175744.16721280001</v>
      </c>
      <c r="U31" s="1">
        <f t="shared" ca="1" si="3"/>
        <v>9473.1134611999987</v>
      </c>
      <c r="V31" s="1">
        <f t="shared" ca="1" si="4"/>
        <v>17559.357219899994</v>
      </c>
      <c r="W31" s="1">
        <f t="shared" ca="1" si="5"/>
        <v>1455.5584837000004</v>
      </c>
    </row>
    <row r="32" spans="1:23" ht="12" x14ac:dyDescent="0.2">
      <c r="A32" s="1">
        <v>12</v>
      </c>
      <c r="B32" s="1">
        <f t="shared" ca="1" si="1"/>
        <v>11.011403400000001</v>
      </c>
      <c r="C32" s="1">
        <f t="shared" ca="1" si="1"/>
        <v>89.628928400000007</v>
      </c>
      <c r="D32" s="1">
        <f t="shared" ca="1" si="1"/>
        <v>280.22978519999998</v>
      </c>
      <c r="E32" s="1">
        <f t="shared" ca="1" si="1"/>
        <v>585.70463739999991</v>
      </c>
      <c r="F32" s="1">
        <f t="shared" ca="1" si="1"/>
        <v>1361.0835416000002</v>
      </c>
      <c r="G32" s="1">
        <f t="shared" ca="1" si="1"/>
        <v>1353.1579550000001</v>
      </c>
      <c r="H32" s="1">
        <f t="shared" ca="1" si="1"/>
        <v>376.95140360000005</v>
      </c>
      <c r="I32" s="1">
        <f t="shared" ca="1" si="1"/>
        <v>369.33603440000002</v>
      </c>
      <c r="J32" s="1">
        <f t="shared" ca="1" si="1"/>
        <v>19959.321900000003</v>
      </c>
      <c r="K32" s="1">
        <f t="shared" ca="1" si="1"/>
        <v>4856.7751400000006</v>
      </c>
      <c r="L32" s="1">
        <f t="shared" ca="1" si="1"/>
        <v>1645.3150991000002</v>
      </c>
      <c r="M32" s="1">
        <f t="shared" ca="1" si="1"/>
        <v>111903.02359999999</v>
      </c>
      <c r="N32" s="1">
        <f t="shared" ca="1" si="1"/>
        <v>351.38489780000003</v>
      </c>
      <c r="O32" s="1">
        <f t="shared" ca="1" si="1"/>
        <v>8611.1018000000004</v>
      </c>
      <c r="P32" s="1">
        <f ca="1">SUM(OFFSET($A$19,13,1,1,14))</f>
        <v>151754.02612589998</v>
      </c>
      <c r="Q32" s="2">
        <f ca="1">SUM(OFFSET($A$19,13,1,1,12))</f>
        <v>142791.53942809999</v>
      </c>
      <c r="R32" s="13" t="s">
        <v>74</v>
      </c>
      <c r="S32" s="3">
        <v>12</v>
      </c>
      <c r="T32" s="1">
        <f t="shared" ca="1" si="2"/>
        <v>310092.33083589998</v>
      </c>
      <c r="U32" s="1">
        <f t="shared" ca="1" si="3"/>
        <v>11217.193760799999</v>
      </c>
      <c r="V32" s="1">
        <f t="shared" ca="1" si="4"/>
        <v>25964.7701834</v>
      </c>
      <c r="W32" s="1">
        <f t="shared" ca="1" si="5"/>
        <v>1797.7274061999997</v>
      </c>
    </row>
    <row r="33" spans="1:24" ht="12" x14ac:dyDescent="0.2">
      <c r="A33" s="1">
        <v>13</v>
      </c>
      <c r="B33" s="1">
        <f t="shared" ca="1" si="1"/>
        <v>1.9596959999999999</v>
      </c>
      <c r="C33" s="1">
        <f t="shared" ca="1" si="1"/>
        <v>5.2358028000000001</v>
      </c>
      <c r="D33" s="1">
        <f t="shared" ca="1" si="1"/>
        <v>41.110279300000002</v>
      </c>
      <c r="E33" s="1">
        <f t="shared" ca="1" si="1"/>
        <v>36.847900600000017</v>
      </c>
      <c r="F33" s="1">
        <f t="shared" ca="1" si="1"/>
        <v>75.495468899999992</v>
      </c>
      <c r="G33" s="1">
        <f t="shared" ca="1" si="1"/>
        <v>188.36309660000001</v>
      </c>
      <c r="H33" s="1">
        <f t="shared" ca="1" si="1"/>
        <v>9.8256120000000013</v>
      </c>
      <c r="I33" s="1">
        <f t="shared" ca="1" si="1"/>
        <v>11.129775800000001</v>
      </c>
      <c r="J33" s="1">
        <f t="shared" ca="1" si="1"/>
        <v>108.74974940000001</v>
      </c>
      <c r="K33" s="1">
        <f t="shared" ca="1" si="1"/>
        <v>10.273989199999995</v>
      </c>
      <c r="L33" s="1">
        <f t="shared" ca="1" si="1"/>
        <v>1873.9290560000002</v>
      </c>
      <c r="M33" s="1">
        <f t="shared" ca="1" si="1"/>
        <v>378.22013219999997</v>
      </c>
      <c r="N33" s="1">
        <f t="shared" ca="1" si="1"/>
        <v>36789.835189999998</v>
      </c>
      <c r="O33" s="1">
        <f t="shared" ca="1" si="1"/>
        <v>7073.9417000000003</v>
      </c>
      <c r="P33" s="1">
        <f ca="1">SUM(OFFSET($A$19,14,1,1,14))</f>
        <v>46604.917448799999</v>
      </c>
      <c r="Q33" s="2">
        <f ca="1">SUM(OFFSET($A$19,14,1,1,12))</f>
        <v>2741.1405588000002</v>
      </c>
      <c r="R33" s="13" t="s">
        <v>75</v>
      </c>
      <c r="S33" s="3">
        <v>13</v>
      </c>
      <c r="T33" s="1">
        <f t="shared" ref="T33:T34" ca="1" si="6">Q15+Q33+Q51</f>
        <v>8827.958371499999</v>
      </c>
      <c r="U33" s="1">
        <f t="shared" ref="U33:U34" ca="1" si="7">Q69+Q87</f>
        <v>368.34105520000008</v>
      </c>
      <c r="V33" s="1">
        <f t="shared" ref="V33:V34" ca="1" si="8">Q105</f>
        <v>3.1820884999999999</v>
      </c>
      <c r="W33" s="1">
        <f t="shared" ca="1" si="5"/>
        <v>4.7450372000000014</v>
      </c>
    </row>
    <row r="34" spans="1:24" ht="12" x14ac:dyDescent="0.2">
      <c r="A34" s="1">
        <v>14</v>
      </c>
      <c r="B34" s="1">
        <f t="shared" ca="1" si="1"/>
        <v>5.3857425000000001</v>
      </c>
      <c r="C34" s="1">
        <f t="shared" ca="1" si="1"/>
        <v>21.8471297</v>
      </c>
      <c r="D34" s="1">
        <f t="shared" ca="1" si="1"/>
        <v>122.16202589999999</v>
      </c>
      <c r="E34" s="1">
        <f t="shared" ca="1" si="1"/>
        <v>163.8170623</v>
      </c>
      <c r="F34" s="1">
        <f t="shared" ca="1" si="1"/>
        <v>392.97437909999996</v>
      </c>
      <c r="G34" s="1">
        <f t="shared" ca="1" si="1"/>
        <v>304.74166709999997</v>
      </c>
      <c r="H34" s="1">
        <f t="shared" ca="1" si="1"/>
        <v>59.773498400000008</v>
      </c>
      <c r="I34" s="1">
        <f t="shared" ca="1" si="1"/>
        <v>49.881315699999995</v>
      </c>
      <c r="J34" s="1">
        <f t="shared" ca="1" si="1"/>
        <v>1537.4621384999998</v>
      </c>
      <c r="K34" s="1">
        <f t="shared" ca="1" si="1"/>
        <v>234.46652520000001</v>
      </c>
      <c r="L34" s="1">
        <f t="shared" ca="1" si="1"/>
        <v>825.50234149999994</v>
      </c>
      <c r="M34" s="1">
        <f t="shared" ca="1" si="1"/>
        <v>8118.5614000000014</v>
      </c>
      <c r="N34" s="1">
        <f t="shared" ca="1" si="1"/>
        <v>7474.7510999999995</v>
      </c>
      <c r="O34" s="1">
        <f t="shared" ca="1" si="1"/>
        <v>238328.22200000001</v>
      </c>
      <c r="P34" s="1">
        <f ca="1">SUM(OFFSET($A$19,15,1,1,14))</f>
        <v>257639.54832590002</v>
      </c>
      <c r="Q34" s="2">
        <f ca="1">SUM(OFFSET($A$19,15,1,1,12))</f>
        <v>11836.5752259</v>
      </c>
      <c r="R34" s="13" t="s">
        <v>75</v>
      </c>
      <c r="S34" s="3">
        <v>14</v>
      </c>
      <c r="T34" s="1">
        <f t="shared" ca="1" si="6"/>
        <v>41747.099964000001</v>
      </c>
      <c r="U34" s="1">
        <f t="shared" ca="1" si="7"/>
        <v>481.10093689999997</v>
      </c>
      <c r="V34" s="1">
        <f t="shared" ca="1" si="8"/>
        <v>13.911160000000001</v>
      </c>
      <c r="W34" s="1">
        <f t="shared" ca="1" si="5"/>
        <v>34.897991399999995</v>
      </c>
    </row>
    <row r="35" spans="1:24" x14ac:dyDescent="0.2">
      <c r="A35" s="1" t="s">
        <v>43</v>
      </c>
      <c r="B35" s="1">
        <f ca="1">SUM(OFFSET($A$19,2,1,14,1))</f>
        <v>52278.852376799994</v>
      </c>
      <c r="C35" s="1">
        <f ca="1">SUM(OFFSET($A$19,2,2,14,1))</f>
        <v>127460.1491535</v>
      </c>
      <c r="D35" s="1">
        <f ca="1">SUM(OFFSET($A$19,2,3,14,1))</f>
        <v>68998.611019400021</v>
      </c>
      <c r="E35" s="1">
        <f ca="1">SUM(OFFSET($A$19,2,4,14,1))</f>
        <v>399466.81784989993</v>
      </c>
      <c r="F35" s="1">
        <f ca="1">SUM(OFFSET($A$19,2,5,14,1))</f>
        <v>247716.32367169997</v>
      </c>
      <c r="G35" s="1">
        <f ca="1">SUM(OFFSET($A$19,2,6,14,1))</f>
        <v>196346.8894592</v>
      </c>
      <c r="H35" s="1">
        <f ca="1">SUM(OFFSET($A$19,2,7,14,1))</f>
        <v>186765.86797329993</v>
      </c>
      <c r="I35" s="1">
        <f ca="1">SUM(OFFSET($A$19,2,8,14,1))</f>
        <v>49818.729869399998</v>
      </c>
      <c r="J35" s="1">
        <f ca="1">SUM(OFFSET($A$19,2,9,14,1))</f>
        <v>369361.85846140003</v>
      </c>
      <c r="K35" s="1">
        <f ca="1">SUM(OFFSET($A$19,2,10,14,1))</f>
        <v>92860.236364899974</v>
      </c>
      <c r="L35" s="1">
        <f ca="1">SUM(OFFSET($A$19,2,11,14,1))</f>
        <v>89396.294042799986</v>
      </c>
      <c r="M35" s="1">
        <f ca="1">SUM(OFFSET($A$19,2,12,14,1))</f>
        <v>152536.48678509999</v>
      </c>
      <c r="N35" s="1">
        <f ca="1">SUM(OFFSET($A$19,2,13,14,1))</f>
        <v>46631.296836399997</v>
      </c>
      <c r="O35" s="1">
        <f ca="1">SUM(OFFSET($A$19,2,14,14,1))</f>
        <v>257312.189958</v>
      </c>
      <c r="P35" s="1">
        <f ca="1">SUM(OFFSET($A$19,16,1,1,14))</f>
        <v>2336950.6038217996</v>
      </c>
      <c r="Q35" s="2">
        <f ca="1">SUM(OFFSET($A$19,16,1,1,12))</f>
        <v>2033007.1170273998</v>
      </c>
      <c r="R35" s="11" t="s">
        <v>77</v>
      </c>
      <c r="T35" s="1">
        <f ca="1">SUM(T21:T34)</f>
        <v>4501452.8553518998</v>
      </c>
      <c r="U35" s="1">
        <f t="shared" ref="U35:W35" ca="1" si="9">SUM(U21:U34)</f>
        <v>797556.00573609991</v>
      </c>
      <c r="V35" s="1">
        <f t="shared" ca="1" si="9"/>
        <v>601233.0557428</v>
      </c>
      <c r="W35" s="1">
        <f t="shared" ca="1" si="9"/>
        <v>95680.117631900008</v>
      </c>
    </row>
    <row r="36" spans="1:24" x14ac:dyDescent="0.2">
      <c r="O36" s="11" t="s">
        <v>59</v>
      </c>
      <c r="P36" s="1">
        <f ca="1">SUM(B21:M32)</f>
        <v>2018429.4012426995</v>
      </c>
    </row>
    <row r="37" spans="1:24" x14ac:dyDescent="0.2">
      <c r="A37" s="1" t="s">
        <v>46</v>
      </c>
    </row>
    <row r="38" spans="1:24" x14ac:dyDescent="0.2">
      <c r="B38" s="1">
        <v>1</v>
      </c>
      <c r="C38" s="1">
        <v>2</v>
      </c>
      <c r="D38" s="1">
        <v>3</v>
      </c>
      <c r="E38" s="1">
        <v>4</v>
      </c>
      <c r="F38" s="1">
        <v>5</v>
      </c>
      <c r="G38" s="1">
        <v>6</v>
      </c>
      <c r="H38" s="1">
        <v>7</v>
      </c>
      <c r="I38" s="1">
        <v>8</v>
      </c>
      <c r="J38" s="1">
        <v>9</v>
      </c>
      <c r="K38" s="1">
        <v>10</v>
      </c>
      <c r="L38" s="1">
        <v>11</v>
      </c>
      <c r="M38" s="1">
        <v>12</v>
      </c>
      <c r="N38" s="1">
        <v>13</v>
      </c>
      <c r="O38" s="1">
        <v>14</v>
      </c>
      <c r="P38" s="1" t="s">
        <v>43</v>
      </c>
      <c r="Q38" s="2" t="s">
        <v>61</v>
      </c>
      <c r="X38" s="1" t="s">
        <v>43</v>
      </c>
    </row>
    <row r="39" spans="1:24" ht="12" x14ac:dyDescent="0.2">
      <c r="A39" s="1">
        <v>1</v>
      </c>
      <c r="B39" s="1">
        <f t="shared" ref="B39:O52" ca="1" si="10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119.40329</v>
      </c>
      <c r="C39" s="1">
        <f t="shared" ca="1" si="10"/>
        <v>82.596264000000005</v>
      </c>
      <c r="D39" s="1">
        <f t="shared" ca="1" si="10"/>
        <v>107.2803</v>
      </c>
      <c r="E39" s="1">
        <f t="shared" ca="1" si="10"/>
        <v>103.99777</v>
      </c>
      <c r="F39" s="1">
        <f t="shared" ca="1" si="10"/>
        <v>42.046489999999999</v>
      </c>
      <c r="G39" s="1">
        <f t="shared" ca="1" si="10"/>
        <v>9.0832478000000005</v>
      </c>
      <c r="H39" s="1">
        <f t="shared" ca="1" si="10"/>
        <v>12.770777000000001</v>
      </c>
      <c r="I39" s="1">
        <f t="shared" ca="1" si="10"/>
        <v>1.7831908000000001</v>
      </c>
      <c r="J39" s="1">
        <f t="shared" ca="1" si="10"/>
        <v>10.096797499999999</v>
      </c>
      <c r="K39" s="1">
        <f t="shared" ca="1" si="10"/>
        <v>0.5219203</v>
      </c>
      <c r="L39" s="1">
        <f t="shared" ca="1" si="10"/>
        <v>3.2298925999999999</v>
      </c>
      <c r="M39" s="1">
        <f t="shared" ca="1" si="10"/>
        <v>1.6648145999999999</v>
      </c>
      <c r="N39" s="1">
        <f t="shared" ca="1" si="10"/>
        <v>0.46723999999999999</v>
      </c>
      <c r="O39" s="1">
        <f t="shared" ca="1" si="10"/>
        <v>1.1886485</v>
      </c>
      <c r="P39" s="1">
        <f ca="1">SUM(OFFSET($A$37,2,1,1,14))</f>
        <v>496.13064309999999</v>
      </c>
      <c r="Q39" s="2">
        <f ca="1">SUM(OFFSET($A$37,2,1,1,12))</f>
        <v>494.47475459999998</v>
      </c>
      <c r="R39" s="13" t="s">
        <v>67</v>
      </c>
      <c r="T39" s="1">
        <f ca="1">SUMIF($R$21:$R$34,$R39,T$21:T$34)</f>
        <v>379980.36821710004</v>
      </c>
      <c r="U39" s="1">
        <f t="shared" ref="U39:W39" ca="1" si="11">SUMIF($R$21:$R$34,$R39,U$21:U$34)</f>
        <v>46652.239772100002</v>
      </c>
      <c r="V39" s="1">
        <f t="shared" ca="1" si="11"/>
        <v>47170.980696599996</v>
      </c>
      <c r="W39" s="1">
        <f t="shared" ca="1" si="11"/>
        <v>6414.5131082999997</v>
      </c>
      <c r="X39" s="1">
        <f ca="1">SUM(T39:W39)</f>
        <v>480218.10179410002</v>
      </c>
    </row>
    <row r="40" spans="1:24" ht="12" x14ac:dyDescent="0.2">
      <c r="A40" s="1">
        <v>2</v>
      </c>
      <c r="B40" s="1">
        <f t="shared" ca="1" si="10"/>
        <v>77.732944000000003</v>
      </c>
      <c r="C40" s="1">
        <f t="shared" ca="1" si="10"/>
        <v>829.22029999999995</v>
      </c>
      <c r="D40" s="1">
        <f t="shared" ca="1" si="10"/>
        <v>208.38200000000001</v>
      </c>
      <c r="E40" s="1">
        <f t="shared" ca="1" si="10"/>
        <v>349.84827999999999</v>
      </c>
      <c r="F40" s="1">
        <f t="shared" ca="1" si="10"/>
        <v>181.21097</v>
      </c>
      <c r="G40" s="1">
        <f t="shared" ca="1" si="10"/>
        <v>57.450699999999998</v>
      </c>
      <c r="H40" s="1">
        <f t="shared" ca="1" si="10"/>
        <v>37.139685</v>
      </c>
      <c r="I40" s="1">
        <f t="shared" ca="1" si="10"/>
        <v>9.7397670000000005</v>
      </c>
      <c r="J40" s="1">
        <f t="shared" ca="1" si="10"/>
        <v>56.003780000000006</v>
      </c>
      <c r="K40" s="1">
        <f t="shared" ca="1" si="10"/>
        <v>4.9272169999999997</v>
      </c>
      <c r="L40" s="1">
        <f t="shared" ca="1" si="10"/>
        <v>18.108128000000001</v>
      </c>
      <c r="M40" s="1">
        <f t="shared" ca="1" si="10"/>
        <v>11.718163000000001</v>
      </c>
      <c r="N40" s="1">
        <f t="shared" ca="1" si="10"/>
        <v>1.1716698999999999</v>
      </c>
      <c r="O40" s="1">
        <f t="shared" ca="1" si="10"/>
        <v>4.5572730000000004</v>
      </c>
      <c r="P40" s="1">
        <f ca="1">SUM(OFFSET($A$37,3,1,1,14))</f>
        <v>1847.2108769000001</v>
      </c>
      <c r="Q40" s="2">
        <f ca="1">SUM(OFFSET($A$37,3,1,1,12))</f>
        <v>1841.4819340000001</v>
      </c>
      <c r="R40" s="13" t="s">
        <v>68</v>
      </c>
      <c r="T40" s="1">
        <f t="shared" ref="T40:W47" ca="1" si="12">SUMIF($R$21:$R$34,$R40,T$21:T$34)</f>
        <v>1075129.6671839</v>
      </c>
      <c r="U40" s="1">
        <f t="shared" ca="1" si="12"/>
        <v>396449.16091889999</v>
      </c>
      <c r="V40" s="1">
        <f t="shared" ca="1" si="12"/>
        <v>266640.08406109997</v>
      </c>
      <c r="W40" s="1">
        <f t="shared" ca="1" si="12"/>
        <v>59071.006391500006</v>
      </c>
      <c r="X40" s="1">
        <f t="shared" ref="X40:X47" ca="1" si="13">SUM(T40:W40)</f>
        <v>1797289.9185553999</v>
      </c>
    </row>
    <row r="41" spans="1:24" ht="12" x14ac:dyDescent="0.2">
      <c r="A41" s="1">
        <v>3</v>
      </c>
      <c r="B41" s="1">
        <f t="shared" ca="1" si="10"/>
        <v>40.423169999999999</v>
      </c>
      <c r="C41" s="1">
        <f t="shared" ca="1" si="10"/>
        <v>88.253039999999999</v>
      </c>
      <c r="D41" s="1">
        <f t="shared" ca="1" si="10"/>
        <v>171.75343000000001</v>
      </c>
      <c r="E41" s="1">
        <f t="shared" ca="1" si="10"/>
        <v>493.93971999999997</v>
      </c>
      <c r="F41" s="1">
        <f t="shared" ca="1" si="10"/>
        <v>140.57028</v>
      </c>
      <c r="G41" s="1">
        <f t="shared" ca="1" si="10"/>
        <v>77.105378000000002</v>
      </c>
      <c r="H41" s="1">
        <f t="shared" ca="1" si="10"/>
        <v>84.376469999999998</v>
      </c>
      <c r="I41" s="1">
        <f t="shared" ca="1" si="10"/>
        <v>18.059509000000002</v>
      </c>
      <c r="J41" s="1">
        <f t="shared" ca="1" si="10"/>
        <v>105.24821</v>
      </c>
      <c r="K41" s="1">
        <f t="shared" ca="1" si="10"/>
        <v>16.387910999999999</v>
      </c>
      <c r="L41" s="1">
        <f t="shared" ca="1" si="10"/>
        <v>20.711337999999998</v>
      </c>
      <c r="M41" s="1">
        <f t="shared" ca="1" si="10"/>
        <v>19.592053</v>
      </c>
      <c r="N41" s="1">
        <f t="shared" ca="1" si="10"/>
        <v>3.8047073</v>
      </c>
      <c r="O41" s="1">
        <f t="shared" ca="1" si="10"/>
        <v>9.9925206000000006</v>
      </c>
      <c r="P41" s="1">
        <f ca="1">SUM(OFFSET($A$37,4,1,1,14))</f>
        <v>1290.2177369000001</v>
      </c>
      <c r="Q41" s="2">
        <f ca="1">SUM(OFFSET($A$37,4,1,1,12))</f>
        <v>1276.420509</v>
      </c>
      <c r="R41" s="13" t="s">
        <v>69</v>
      </c>
      <c r="T41" s="1">
        <f t="shared" ca="1" si="12"/>
        <v>579217.92162239982</v>
      </c>
      <c r="U41" s="1">
        <f t="shared" ca="1" si="12"/>
        <v>144356.7209519</v>
      </c>
      <c r="V41" s="1">
        <f t="shared" ca="1" si="12"/>
        <v>60668.253860899997</v>
      </c>
      <c r="W41" s="1">
        <f t="shared" ca="1" si="12"/>
        <v>8263.5765743000011</v>
      </c>
      <c r="X41" s="1">
        <f t="shared" ca="1" si="13"/>
        <v>792506.47300949972</v>
      </c>
    </row>
    <row r="42" spans="1:24" ht="12" x14ac:dyDescent="0.2">
      <c r="A42" s="1">
        <v>4</v>
      </c>
      <c r="B42" s="1">
        <f t="shared" ca="1" si="10"/>
        <v>78.932899999999989</v>
      </c>
      <c r="C42" s="1">
        <f t="shared" ca="1" si="10"/>
        <v>289.70465999999999</v>
      </c>
      <c r="D42" s="1">
        <f t="shared" ca="1" si="10"/>
        <v>810.80732999999998</v>
      </c>
      <c r="E42" s="1">
        <f t="shared" ca="1" si="10"/>
        <v>3593.3741</v>
      </c>
      <c r="F42" s="1">
        <f t="shared" ca="1" si="10"/>
        <v>909.77305000000001</v>
      </c>
      <c r="G42" s="1">
        <f t="shared" ca="1" si="10"/>
        <v>274.12982</v>
      </c>
      <c r="H42" s="1">
        <f t="shared" ca="1" si="10"/>
        <v>717.65499999999997</v>
      </c>
      <c r="I42" s="1">
        <f t="shared" ca="1" si="10"/>
        <v>125.18335999999999</v>
      </c>
      <c r="J42" s="1">
        <f t="shared" ca="1" si="10"/>
        <v>513.14211999999998</v>
      </c>
      <c r="K42" s="1">
        <f t="shared" ca="1" si="10"/>
        <v>72.413460000000001</v>
      </c>
      <c r="L42" s="1">
        <f t="shared" ca="1" si="10"/>
        <v>71.345114000000009</v>
      </c>
      <c r="M42" s="1">
        <f t="shared" ca="1" si="10"/>
        <v>93.48442</v>
      </c>
      <c r="N42" s="1">
        <f t="shared" ca="1" si="10"/>
        <v>9.7556591000000008</v>
      </c>
      <c r="O42" s="1">
        <f t="shared" ca="1" si="10"/>
        <v>40.303150000000002</v>
      </c>
      <c r="P42" s="1">
        <f ca="1">SUM(OFFSET($A$37,5,1,1,14))</f>
        <v>7600.0041430999991</v>
      </c>
      <c r="Q42" s="2">
        <f ca="1">SUM(OFFSET($A$37,5,1,1,12))</f>
        <v>7549.9453339999991</v>
      </c>
      <c r="R42" s="13" t="s">
        <v>70</v>
      </c>
      <c r="T42" s="1">
        <f t="shared" ca="1" si="12"/>
        <v>409239.52761370002</v>
      </c>
      <c r="U42" s="1">
        <f t="shared" ca="1" si="12"/>
        <v>42953.9651878</v>
      </c>
      <c r="V42" s="1">
        <f t="shared" ca="1" si="12"/>
        <v>38679.160266999999</v>
      </c>
      <c r="W42" s="1">
        <f t="shared" ca="1" si="12"/>
        <v>4311.2000613999999</v>
      </c>
      <c r="X42" s="1">
        <f t="shared" ca="1" si="13"/>
        <v>495183.8531299</v>
      </c>
    </row>
    <row r="43" spans="1:24" ht="12" x14ac:dyDescent="0.2">
      <c r="A43" s="1">
        <v>5</v>
      </c>
      <c r="B43" s="1">
        <f t="shared" ca="1" si="10"/>
        <v>35.429189999999998</v>
      </c>
      <c r="C43" s="1">
        <f t="shared" ca="1" si="10"/>
        <v>159.94156000000001</v>
      </c>
      <c r="D43" s="1">
        <f t="shared" ca="1" si="10"/>
        <v>271.72091999999998</v>
      </c>
      <c r="E43" s="1">
        <f t="shared" ca="1" si="10"/>
        <v>954.23989000000006</v>
      </c>
      <c r="F43" s="1">
        <f t="shared" ca="1" si="10"/>
        <v>1811.9384</v>
      </c>
      <c r="G43" s="1">
        <f t="shared" ca="1" si="10"/>
        <v>394.34445999999997</v>
      </c>
      <c r="H43" s="1">
        <f t="shared" ca="1" si="10"/>
        <v>215.60534999999999</v>
      </c>
      <c r="I43" s="1">
        <f t="shared" ca="1" si="10"/>
        <v>72.688203999999999</v>
      </c>
      <c r="J43" s="1">
        <f t="shared" ca="1" si="10"/>
        <v>443.35089999999997</v>
      </c>
      <c r="K43" s="1">
        <f t="shared" ca="1" si="10"/>
        <v>46.327892999999996</v>
      </c>
      <c r="L43" s="1">
        <f t="shared" ca="1" si="10"/>
        <v>99.885420000000011</v>
      </c>
      <c r="M43" s="1">
        <f t="shared" ca="1" si="10"/>
        <v>108.72907000000001</v>
      </c>
      <c r="N43" s="1">
        <f t="shared" ca="1" si="10"/>
        <v>16.439482000000002</v>
      </c>
      <c r="O43" s="1">
        <f t="shared" ca="1" si="10"/>
        <v>73.723370000000003</v>
      </c>
      <c r="P43" s="1">
        <f ca="1">SUM(OFFSET($A$37,6,1,1,14))</f>
        <v>4704.3641089999992</v>
      </c>
      <c r="Q43" s="2">
        <f ca="1">SUM(OFFSET($A$37,6,1,1,12))</f>
        <v>4614.2012569999997</v>
      </c>
      <c r="R43" s="13" t="s">
        <v>71</v>
      </c>
      <c r="T43" s="1">
        <f t="shared" ca="1" si="12"/>
        <v>547232.98753109993</v>
      </c>
      <c r="U43" s="1">
        <f t="shared" ca="1" si="12"/>
        <v>59895.327063199991</v>
      </c>
      <c r="V43" s="1">
        <f t="shared" ca="1" si="12"/>
        <v>45593.177231499998</v>
      </c>
      <c r="W43" s="1">
        <f t="shared" ca="1" si="12"/>
        <v>5451.5941550999996</v>
      </c>
      <c r="X43" s="1">
        <f t="shared" ca="1" si="13"/>
        <v>658173.08598089986</v>
      </c>
    </row>
    <row r="44" spans="1:24" ht="12" x14ac:dyDescent="0.2">
      <c r="A44" s="1">
        <v>6</v>
      </c>
      <c r="B44" s="1">
        <f t="shared" ca="1" si="10"/>
        <v>8.5127154000000012</v>
      </c>
      <c r="C44" s="1">
        <f t="shared" ca="1" si="10"/>
        <v>56.780410000000003</v>
      </c>
      <c r="D44" s="1">
        <f t="shared" ca="1" si="10"/>
        <v>171.812174</v>
      </c>
      <c r="E44" s="1">
        <f t="shared" ca="1" si="10"/>
        <v>324.99196000000001</v>
      </c>
      <c r="F44" s="1">
        <f t="shared" ca="1" si="10"/>
        <v>424.67883</v>
      </c>
      <c r="G44" s="1">
        <f t="shared" ca="1" si="10"/>
        <v>1070.8106</v>
      </c>
      <c r="H44" s="1">
        <f t="shared" ca="1" si="10"/>
        <v>54.083807999999998</v>
      </c>
      <c r="I44" s="1">
        <f t="shared" ca="1" si="10"/>
        <v>23.43</v>
      </c>
      <c r="J44" s="1">
        <f t="shared" ca="1" si="10"/>
        <v>169.54467</v>
      </c>
      <c r="K44" s="1">
        <f t="shared" ca="1" si="10"/>
        <v>17.018289000000003</v>
      </c>
      <c r="L44" s="1">
        <f t="shared" ca="1" si="10"/>
        <v>156.858159</v>
      </c>
      <c r="M44" s="1">
        <f t="shared" ca="1" si="10"/>
        <v>72.007054999999994</v>
      </c>
      <c r="N44" s="1">
        <f t="shared" ca="1" si="10"/>
        <v>27.127700699999998</v>
      </c>
      <c r="O44" s="1">
        <f t="shared" ca="1" si="10"/>
        <v>45.492870999999994</v>
      </c>
      <c r="P44" s="1">
        <f ca="1">SUM(OFFSET($A$37,7,1,1,14))</f>
        <v>2623.1492420999998</v>
      </c>
      <c r="Q44" s="2">
        <f ca="1">SUM(OFFSET($A$37,7,1,1,12))</f>
        <v>2550.5286704</v>
      </c>
      <c r="R44" s="13" t="s">
        <v>72</v>
      </c>
      <c r="T44" s="1">
        <f t="shared" ca="1" si="12"/>
        <v>974240.82679950015</v>
      </c>
      <c r="U44" s="1">
        <f t="shared" ca="1" si="12"/>
        <v>85708.842628099999</v>
      </c>
      <c r="V44" s="1">
        <f t="shared" ca="1" si="12"/>
        <v>98940.178973899994</v>
      </c>
      <c r="W44" s="1">
        <f t="shared" ca="1" si="12"/>
        <v>8875.2984228000005</v>
      </c>
      <c r="X44" s="1">
        <f t="shared" ca="1" si="13"/>
        <v>1167765.1468243001</v>
      </c>
    </row>
    <row r="45" spans="1:24" ht="12" x14ac:dyDescent="0.2">
      <c r="A45" s="1">
        <v>7</v>
      </c>
      <c r="B45" s="1">
        <f t="shared" ca="1" si="10"/>
        <v>11.470744</v>
      </c>
      <c r="C45" s="1">
        <f t="shared" ca="1" si="10"/>
        <v>35.709784999999997</v>
      </c>
      <c r="D45" s="1">
        <f t="shared" ca="1" si="10"/>
        <v>196.06154000000001</v>
      </c>
      <c r="E45" s="1">
        <f t="shared" ca="1" si="10"/>
        <v>832.12967000000003</v>
      </c>
      <c r="F45" s="1">
        <f t="shared" ca="1" si="10"/>
        <v>242.82415</v>
      </c>
      <c r="G45" s="1">
        <f t="shared" ca="1" si="10"/>
        <v>53.140324</v>
      </c>
      <c r="H45" s="1">
        <f t="shared" ca="1" si="10"/>
        <v>1324.4673</v>
      </c>
      <c r="I45" s="1">
        <f t="shared" ca="1" si="10"/>
        <v>107.59676</v>
      </c>
      <c r="J45" s="1">
        <f t="shared" ca="1" si="10"/>
        <v>257.60057</v>
      </c>
      <c r="K45" s="1">
        <f t="shared" ca="1" si="10"/>
        <v>58.327487999999995</v>
      </c>
      <c r="L45" s="1">
        <f t="shared" ca="1" si="10"/>
        <v>14.945960599999999</v>
      </c>
      <c r="M45" s="1">
        <f t="shared" ca="1" si="10"/>
        <v>48.372966000000005</v>
      </c>
      <c r="N45" s="1">
        <f t="shared" ca="1" si="10"/>
        <v>2.0870335999999998</v>
      </c>
      <c r="O45" s="1">
        <f t="shared" ca="1" si="10"/>
        <v>12.2046811</v>
      </c>
      <c r="P45" s="1">
        <f ca="1">SUM(OFFSET($A$37,8,1,1,14))</f>
        <v>3196.9389722999995</v>
      </c>
      <c r="Q45" s="2">
        <f ca="1">SUM(OFFSET($A$37,8,1,1,12))</f>
        <v>3182.6472575999996</v>
      </c>
      <c r="R45" s="13" t="s">
        <v>73</v>
      </c>
      <c r="T45" s="1">
        <f t="shared" ca="1" si="12"/>
        <v>175744.16721280001</v>
      </c>
      <c r="U45" s="1">
        <f t="shared" ca="1" si="12"/>
        <v>9473.1134611999987</v>
      </c>
      <c r="V45" s="1">
        <f t="shared" ca="1" si="12"/>
        <v>17559.357219899994</v>
      </c>
      <c r="W45" s="1">
        <f t="shared" ca="1" si="12"/>
        <v>1455.5584837000004</v>
      </c>
      <c r="X45" s="1">
        <f t="shared" ca="1" si="13"/>
        <v>204232.19637760002</v>
      </c>
    </row>
    <row r="46" spans="1:24" ht="12" x14ac:dyDescent="0.2">
      <c r="A46" s="1">
        <v>8</v>
      </c>
      <c r="B46" s="1">
        <f t="shared" ca="1" si="10"/>
        <v>1.7883296</v>
      </c>
      <c r="C46" s="1">
        <f t="shared" ca="1" si="10"/>
        <v>10.190073999999999</v>
      </c>
      <c r="D46" s="1">
        <f t="shared" ca="1" si="10"/>
        <v>46.137255000000003</v>
      </c>
      <c r="E46" s="1">
        <f t="shared" ca="1" si="10"/>
        <v>146.74054999999998</v>
      </c>
      <c r="F46" s="1">
        <f t="shared" ca="1" si="10"/>
        <v>83.092669999999998</v>
      </c>
      <c r="G46" s="1">
        <f t="shared" ca="1" si="10"/>
        <v>24.352491700000002</v>
      </c>
      <c r="H46" s="1">
        <f t="shared" ca="1" si="10"/>
        <v>120.58357000000001</v>
      </c>
      <c r="I46" s="1">
        <f t="shared" ca="1" si="10"/>
        <v>262.04590999999999</v>
      </c>
      <c r="J46" s="1">
        <f t="shared" ca="1" si="10"/>
        <v>212.968872</v>
      </c>
      <c r="K46" s="1">
        <f t="shared" ca="1" si="10"/>
        <v>35.052071000000005</v>
      </c>
      <c r="L46" s="1">
        <f t="shared" ca="1" si="10"/>
        <v>10.6258803</v>
      </c>
      <c r="M46" s="1">
        <f t="shared" ca="1" si="10"/>
        <v>45.541938000000002</v>
      </c>
      <c r="N46" s="1">
        <f t="shared" ca="1" si="10"/>
        <v>2.5909210999999996</v>
      </c>
      <c r="O46" s="1">
        <f t="shared" ca="1" si="10"/>
        <v>10.279583000000001</v>
      </c>
      <c r="P46" s="1">
        <f ca="1">SUM(OFFSET($A$37,9,1,1,14))</f>
        <v>1011.9901156999998</v>
      </c>
      <c r="Q46" s="2">
        <f ca="1">SUM(OFFSET($A$37,9,1,1,12))</f>
        <v>999.11961159999987</v>
      </c>
      <c r="R46" s="13" t="s">
        <v>74</v>
      </c>
      <c r="T46" s="1">
        <f t="shared" ca="1" si="12"/>
        <v>310092.33083589998</v>
      </c>
      <c r="U46" s="1">
        <f t="shared" ca="1" si="12"/>
        <v>11217.193760799999</v>
      </c>
      <c r="V46" s="1">
        <f t="shared" ca="1" si="12"/>
        <v>25964.7701834</v>
      </c>
      <c r="W46" s="1">
        <f t="shared" ca="1" si="12"/>
        <v>1797.7274061999997</v>
      </c>
      <c r="X46" s="1">
        <f t="shared" ca="1" si="13"/>
        <v>349072.02218630002</v>
      </c>
    </row>
    <row r="47" spans="1:24" ht="12" x14ac:dyDescent="0.2">
      <c r="A47" s="1">
        <v>9</v>
      </c>
      <c r="B47" s="1">
        <f t="shared" ca="1" si="10"/>
        <v>8.7206856000000013</v>
      </c>
      <c r="C47" s="1">
        <f t="shared" ca="1" si="10"/>
        <v>52.151070000000004</v>
      </c>
      <c r="D47" s="1">
        <f t="shared" ca="1" si="10"/>
        <v>218.15550999999999</v>
      </c>
      <c r="E47" s="1">
        <f t="shared" ca="1" si="10"/>
        <v>561.36068</v>
      </c>
      <c r="F47" s="1">
        <f t="shared" ca="1" si="10"/>
        <v>469.54419999999999</v>
      </c>
      <c r="G47" s="1">
        <f t="shared" ca="1" si="10"/>
        <v>156.07955999999999</v>
      </c>
      <c r="H47" s="1">
        <f t="shared" ca="1" si="10"/>
        <v>251.36391</v>
      </c>
      <c r="I47" s="1">
        <f t="shared" ca="1" si="10"/>
        <v>192.34197699999999</v>
      </c>
      <c r="J47" s="1">
        <f t="shared" ca="1" si="10"/>
        <v>3101.7026999999998</v>
      </c>
      <c r="K47" s="1">
        <f t="shared" ca="1" si="10"/>
        <v>197.16861</v>
      </c>
      <c r="L47" s="1">
        <f t="shared" ca="1" si="10"/>
        <v>77.077147999999994</v>
      </c>
      <c r="M47" s="1">
        <f t="shared" ca="1" si="10"/>
        <v>457.22937999999999</v>
      </c>
      <c r="N47" s="1">
        <f t="shared" ca="1" si="10"/>
        <v>20.432040999999998</v>
      </c>
      <c r="O47" s="1">
        <f t="shared" ca="1" si="10"/>
        <v>153.89671000000001</v>
      </c>
      <c r="P47" s="1">
        <f ca="1">SUM(OFFSET($A$37,10,1,1,14))</f>
        <v>5917.2241815999996</v>
      </c>
      <c r="Q47" s="2">
        <f ca="1">SUM(OFFSET($A$37,10,1,1,12))</f>
        <v>5742.8954305999996</v>
      </c>
      <c r="R47" s="13" t="s">
        <v>75</v>
      </c>
      <c r="T47" s="1">
        <f t="shared" ca="1" si="12"/>
        <v>50575.058335499998</v>
      </c>
      <c r="U47" s="1">
        <f t="shared" ca="1" si="12"/>
        <v>849.44199210000011</v>
      </c>
      <c r="V47" s="1">
        <f t="shared" ca="1" si="12"/>
        <v>17.093248500000001</v>
      </c>
      <c r="W47" s="1">
        <f t="shared" ca="1" si="12"/>
        <v>39.643028599999994</v>
      </c>
      <c r="X47" s="1">
        <f t="shared" ca="1" si="13"/>
        <v>51481.236604700003</v>
      </c>
    </row>
    <row r="48" spans="1:24" x14ac:dyDescent="0.2">
      <c r="A48" s="1">
        <v>10</v>
      </c>
      <c r="B48" s="1">
        <f t="shared" ca="1" si="10"/>
        <v>0.507664</v>
      </c>
      <c r="C48" s="1">
        <f t="shared" ca="1" si="10"/>
        <v>5.0497110000000003</v>
      </c>
      <c r="D48" s="1">
        <f t="shared" ca="1" si="10"/>
        <v>41.405880000000003</v>
      </c>
      <c r="E48" s="1">
        <f t="shared" ca="1" si="10"/>
        <v>88.697490000000002</v>
      </c>
      <c r="F48" s="1">
        <f t="shared" ca="1" si="10"/>
        <v>52.013249999999999</v>
      </c>
      <c r="G48" s="1">
        <f t="shared" ca="1" si="10"/>
        <v>17.444313000000001</v>
      </c>
      <c r="H48" s="1">
        <f t="shared" ca="1" si="10"/>
        <v>63.617314</v>
      </c>
      <c r="I48" s="1">
        <f t="shared" ca="1" si="10"/>
        <v>34.368124999999999</v>
      </c>
      <c r="J48" s="1">
        <f t="shared" ca="1" si="10"/>
        <v>215.60946000000001</v>
      </c>
      <c r="K48" s="1">
        <f t="shared" ca="1" si="10"/>
        <v>319.66729999999995</v>
      </c>
      <c r="L48" s="1">
        <f t="shared" ca="1" si="10"/>
        <v>8.4610876999999984</v>
      </c>
      <c r="M48" s="1">
        <f t="shared" ca="1" si="10"/>
        <v>101.74836000000001</v>
      </c>
      <c r="N48" s="1">
        <f t="shared" ca="1" si="10"/>
        <v>2.0177527999999998</v>
      </c>
      <c r="O48" s="1">
        <f t="shared" ca="1" si="10"/>
        <v>30.386779000000001</v>
      </c>
      <c r="P48" s="1">
        <f ca="1">SUM(OFFSET($A$37,11,1,1,14))</f>
        <v>980.99448650000011</v>
      </c>
      <c r="Q48" s="2">
        <f ca="1">SUM(OFFSET($A$37,11,1,1,12))</f>
        <v>948.58995470000002</v>
      </c>
      <c r="R48" s="11" t="s">
        <v>78</v>
      </c>
      <c r="T48" s="1">
        <f ca="1">SUM(T39:T47)</f>
        <v>4501452.8553518998</v>
      </c>
      <c r="U48" s="1">
        <f t="shared" ref="U48:X48" ca="1" si="14">SUM(U39:U47)</f>
        <v>797556.00573609979</v>
      </c>
      <c r="V48" s="1">
        <f t="shared" ca="1" si="14"/>
        <v>601233.0557428</v>
      </c>
      <c r="W48" s="1">
        <f t="shared" ca="1" si="14"/>
        <v>95680.117631900008</v>
      </c>
      <c r="X48" s="1">
        <f t="shared" ca="1" si="14"/>
        <v>5995922.0344626987</v>
      </c>
    </row>
    <row r="49" spans="1:24" x14ac:dyDescent="0.2">
      <c r="A49" s="1">
        <v>11</v>
      </c>
      <c r="B49" s="1">
        <f t="shared" ca="1" si="10"/>
        <v>3.2527954000000001</v>
      </c>
      <c r="C49" s="1">
        <f t="shared" ca="1" si="10"/>
        <v>19.407814999999999</v>
      </c>
      <c r="D49" s="1">
        <f t="shared" ca="1" si="10"/>
        <v>50.207817000000006</v>
      </c>
      <c r="E49" s="1">
        <f t="shared" ca="1" si="10"/>
        <v>89.852810000000005</v>
      </c>
      <c r="F49" s="1">
        <f t="shared" ca="1" si="10"/>
        <v>123.78701</v>
      </c>
      <c r="G49" s="1">
        <f t="shared" ca="1" si="10"/>
        <v>153.996894</v>
      </c>
      <c r="H49" s="1">
        <f t="shared" ca="1" si="10"/>
        <v>16.219883400000001</v>
      </c>
      <c r="I49" s="1">
        <f t="shared" ca="1" si="10"/>
        <v>10.844019400000001</v>
      </c>
      <c r="J49" s="1">
        <f t="shared" ca="1" si="10"/>
        <v>87.764527999999999</v>
      </c>
      <c r="K49" s="1">
        <f t="shared" ca="1" si="10"/>
        <v>8.4828206999999995</v>
      </c>
      <c r="L49" s="1">
        <f t="shared" ca="1" si="10"/>
        <v>447.07688999999999</v>
      </c>
      <c r="M49" s="1">
        <f t="shared" ca="1" si="10"/>
        <v>60.995028999999995</v>
      </c>
      <c r="N49" s="1">
        <f t="shared" ca="1" si="10"/>
        <v>45.424059999999997</v>
      </c>
      <c r="O49" s="1">
        <f t="shared" ca="1" si="10"/>
        <v>60.858269999999997</v>
      </c>
      <c r="P49" s="1">
        <f ca="1">SUM(OFFSET($A$37,12,1,1,14))</f>
        <v>1178.1706419</v>
      </c>
      <c r="Q49" s="2">
        <f ca="1">SUM(OFFSET($A$37,12,1,1,12))</f>
        <v>1071.8883119</v>
      </c>
      <c r="R49" s="11" t="s">
        <v>79</v>
      </c>
      <c r="T49" s="1">
        <f ca="1">SUM(T39:T46)</f>
        <v>4450877.7970163999</v>
      </c>
      <c r="U49" s="1">
        <f t="shared" ref="U49:W49" ca="1" si="15">SUM(U39:U46)</f>
        <v>796706.56374399981</v>
      </c>
      <c r="V49" s="1">
        <f t="shared" ca="1" si="15"/>
        <v>601215.96249429998</v>
      </c>
      <c r="W49" s="1">
        <f t="shared" ca="1" si="15"/>
        <v>95640.474603300012</v>
      </c>
      <c r="X49" s="1">
        <f t="shared" ref="X49" ca="1" si="16">SUM(X39:X46)</f>
        <v>5944440.7978579989</v>
      </c>
    </row>
    <row r="50" spans="1:24" x14ac:dyDescent="0.2">
      <c r="A50" s="1">
        <v>12</v>
      </c>
      <c r="B50" s="1">
        <f t="shared" ca="1" si="10"/>
        <v>1.6566844000000001</v>
      </c>
      <c r="C50" s="1">
        <f t="shared" ca="1" si="10"/>
        <v>12.10413</v>
      </c>
      <c r="D50" s="1">
        <f t="shared" ca="1" si="10"/>
        <v>53.184241</v>
      </c>
      <c r="E50" s="1">
        <f t="shared" ca="1" si="10"/>
        <v>113.95581</v>
      </c>
      <c r="F50" s="1">
        <f t="shared" ca="1" si="10"/>
        <v>122.36164000000001</v>
      </c>
      <c r="G50" s="1">
        <f t="shared" ca="1" si="10"/>
        <v>71.854272999999992</v>
      </c>
      <c r="H50" s="1">
        <f t="shared" ca="1" si="10"/>
        <v>51.780034000000001</v>
      </c>
      <c r="I50" s="1">
        <f t="shared" ca="1" si="10"/>
        <v>44.205346999999996</v>
      </c>
      <c r="J50" s="1">
        <f t="shared" ca="1" si="10"/>
        <v>474.85018000000002</v>
      </c>
      <c r="K50" s="1">
        <f t="shared" ca="1" si="10"/>
        <v>98.704488999999995</v>
      </c>
      <c r="L50" s="1">
        <f t="shared" ca="1" si="10"/>
        <v>57.823331999999994</v>
      </c>
      <c r="M50" s="1">
        <f t="shared" ca="1" si="10"/>
        <v>852.68119999999999</v>
      </c>
      <c r="N50" s="1">
        <f t="shared" ca="1" si="10"/>
        <v>41.376186000000004</v>
      </c>
      <c r="O50" s="1">
        <f t="shared" ca="1" si="10"/>
        <v>291.84994999999998</v>
      </c>
      <c r="P50" s="1">
        <f ca="1">SUM(OFFSET($A$37,13,1,1,14))</f>
        <v>2288.3874963999997</v>
      </c>
      <c r="Q50" s="2">
        <f ca="1">SUM(OFFSET($A$37,13,1,1,12))</f>
        <v>1955.1613603999999</v>
      </c>
    </row>
    <row r="51" spans="1:24" ht="12" x14ac:dyDescent="0.2">
      <c r="A51" s="1">
        <v>13</v>
      </c>
      <c r="B51" s="1">
        <f t="shared" ca="1" si="10"/>
        <v>0.45863290000000001</v>
      </c>
      <c r="C51" s="1">
        <f t="shared" ca="1" si="10"/>
        <v>1.2000427</v>
      </c>
      <c r="D51" s="1">
        <f t="shared" ca="1" si="10"/>
        <v>8.7234504000000008</v>
      </c>
      <c r="E51" s="1">
        <f t="shared" ca="1" si="10"/>
        <v>11.150612499999999</v>
      </c>
      <c r="F51" s="1">
        <f t="shared" ca="1" si="10"/>
        <v>16.822398</v>
      </c>
      <c r="G51" s="1">
        <f t="shared" ca="1" si="10"/>
        <v>26.114141</v>
      </c>
      <c r="H51" s="1">
        <f t="shared" ca="1" si="10"/>
        <v>2.159348</v>
      </c>
      <c r="I51" s="1">
        <f t="shared" ca="1" si="10"/>
        <v>2.5765594999999997</v>
      </c>
      <c r="J51" s="1">
        <f t="shared" ca="1" si="10"/>
        <v>21.671190999999997</v>
      </c>
      <c r="K51" s="1">
        <f t="shared" ca="1" si="10"/>
        <v>2.0746262</v>
      </c>
      <c r="L51" s="1">
        <f t="shared" ca="1" si="10"/>
        <v>42.297501000000004</v>
      </c>
      <c r="M51" s="1">
        <f t="shared" ca="1" si="10"/>
        <v>41.731819000000002</v>
      </c>
      <c r="N51" s="1">
        <f t="shared" ca="1" si="10"/>
        <v>235.32318999999998</v>
      </c>
      <c r="O51" s="1">
        <f t="shared" ca="1" si="10"/>
        <v>203.15960000000001</v>
      </c>
      <c r="P51" s="1">
        <f ca="1">SUM(OFFSET($A$37,14,1,1,14))</f>
        <v>615.46311220000007</v>
      </c>
      <c r="Q51" s="2">
        <f ca="1">SUM(OFFSET($A$37,14,1,1,12))</f>
        <v>176.98032219999999</v>
      </c>
      <c r="R51" s="13"/>
    </row>
    <row r="52" spans="1:24" ht="12" x14ac:dyDescent="0.2">
      <c r="A52" s="1">
        <v>14</v>
      </c>
      <c r="B52" s="1">
        <f t="shared" ca="1" si="10"/>
        <v>1.2459024000000001</v>
      </c>
      <c r="C52" s="1">
        <f t="shared" ca="1" si="10"/>
        <v>5.0673430000000002</v>
      </c>
      <c r="D52" s="1">
        <f t="shared" ca="1" si="10"/>
        <v>27.834157999999999</v>
      </c>
      <c r="E52" s="1">
        <f t="shared" ca="1" si="10"/>
        <v>51.399380000000001</v>
      </c>
      <c r="F52" s="1">
        <f t="shared" ca="1" si="10"/>
        <v>87.788759999999996</v>
      </c>
      <c r="G52" s="1">
        <f t="shared" ca="1" si="10"/>
        <v>46.367094999999999</v>
      </c>
      <c r="H52" s="1">
        <f t="shared" ca="1" si="10"/>
        <v>13.574847199999999</v>
      </c>
      <c r="I52" s="1">
        <f t="shared" ca="1" si="10"/>
        <v>10.3057575</v>
      </c>
      <c r="J52" s="1">
        <f t="shared" ca="1" si="10"/>
        <v>173.58037000000002</v>
      </c>
      <c r="K52" s="1">
        <f t="shared" ca="1" si="10"/>
        <v>31.046901000000002</v>
      </c>
      <c r="L52" s="1">
        <f t="shared" ca="1" si="10"/>
        <v>57.462389999999999</v>
      </c>
      <c r="M52" s="1">
        <f t="shared" ca="1" si="10"/>
        <v>299.70197000000002</v>
      </c>
      <c r="N52" s="1">
        <f t="shared" ca="1" si="10"/>
        <v>200.15649999999999</v>
      </c>
      <c r="O52" s="1">
        <f t="shared" ca="1" si="10"/>
        <v>2726.3784000000001</v>
      </c>
      <c r="P52" s="1">
        <f ca="1">SUM(OFFSET($A$37,15,1,1,14))</f>
        <v>3731.9097741</v>
      </c>
      <c r="Q52" s="2">
        <f ca="1">SUM(OFFSET($A$37,15,1,1,12))</f>
        <v>805.37487409999994</v>
      </c>
      <c r="R52" s="13"/>
    </row>
    <row r="53" spans="1:24" x14ac:dyDescent="0.2">
      <c r="A53" s="1" t="s">
        <v>43</v>
      </c>
      <c r="B53" s="1">
        <f ca="1">SUM(OFFSET($A$37,2,1,14,1))</f>
        <v>389.53564770000003</v>
      </c>
      <c r="C53" s="1">
        <f ca="1">SUM(OFFSET($A$37,2,2,14,1))</f>
        <v>1647.3762047</v>
      </c>
      <c r="D53" s="1">
        <f ca="1">SUM(OFFSET($A$37,2,3,14,1))</f>
        <v>2383.4660053999996</v>
      </c>
      <c r="E53" s="1">
        <f ca="1">SUM(OFFSET($A$37,2,4,14,1))</f>
        <v>7715.6787224999998</v>
      </c>
      <c r="F53" s="1">
        <f ca="1">SUM(OFFSET($A$37,2,5,14,1))</f>
        <v>4708.4520980000007</v>
      </c>
      <c r="G53" s="1">
        <f ca="1">SUM(OFFSET($A$37,2,6,14,1))</f>
        <v>2432.2732974999999</v>
      </c>
      <c r="H53" s="1">
        <f ca="1">SUM(OFFSET($A$37,2,7,14,1))</f>
        <v>2965.3972966000001</v>
      </c>
      <c r="I53" s="1">
        <f ca="1">SUM(OFFSET($A$37,2,8,14,1))</f>
        <v>915.16848620000007</v>
      </c>
      <c r="J53" s="1">
        <f ca="1">SUM(OFFSET($A$37,2,9,14,1))</f>
        <v>5843.1343484999998</v>
      </c>
      <c r="K53" s="1">
        <f ca="1">SUM(OFFSET($A$37,2,10,14,1))</f>
        <v>908.12099620000004</v>
      </c>
      <c r="L53" s="1">
        <f ca="1">SUM(OFFSET($A$37,2,11,14,1))</f>
        <v>1085.9082411999998</v>
      </c>
      <c r="M53" s="1">
        <f ca="1">SUM(OFFSET($A$37,2,12,14,1))</f>
        <v>2215.1982376000001</v>
      </c>
      <c r="N53" s="1">
        <f ca="1">SUM(OFFSET($A$37,2,13,14,1))</f>
        <v>608.1741434999999</v>
      </c>
      <c r="O53" s="1">
        <f ca="1">SUM(OFFSET($A$37,2,14,14,1))</f>
        <v>3664.2718061999999</v>
      </c>
      <c r="P53" s="1">
        <f ca="1">SUM(OFFSET($A$37,16,1,1,14))</f>
        <v>37482.155531799996</v>
      </c>
      <c r="Q53" s="2">
        <f ca="1">SUM(OFFSET($A$37,16,1,1,12))</f>
        <v>33209.709582099997</v>
      </c>
    </row>
    <row r="54" spans="1:24" x14ac:dyDescent="0.2">
      <c r="O54" s="11" t="s">
        <v>59</v>
      </c>
      <c r="P54" s="1">
        <f ca="1">SUM(B39:M50)</f>
        <v>32227.354385799983</v>
      </c>
    </row>
    <row r="55" spans="1:24" x14ac:dyDescent="0.2">
      <c r="A55" s="1" t="s">
        <v>47</v>
      </c>
    </row>
    <row r="56" spans="1:24" x14ac:dyDescent="0.2"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11</v>
      </c>
      <c r="M56" s="1">
        <v>12</v>
      </c>
      <c r="N56" s="1">
        <v>13</v>
      </c>
      <c r="O56" s="1">
        <v>14</v>
      </c>
      <c r="P56" s="1" t="s">
        <v>43</v>
      </c>
      <c r="Q56" s="2" t="s">
        <v>61</v>
      </c>
    </row>
    <row r="57" spans="1:24" x14ac:dyDescent="0.2">
      <c r="A57" s="1">
        <v>1</v>
      </c>
      <c r="B57" s="1">
        <f t="shared" ref="B57:O70" ca="1" si="17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2639.0413399999998</v>
      </c>
      <c r="C57" s="1">
        <f t="shared" ca="1" si="17"/>
        <v>2079.7989299999999</v>
      </c>
      <c r="D57" s="1">
        <f t="shared" ca="1" si="17"/>
        <v>2650.4626459999999</v>
      </c>
      <c r="E57" s="1">
        <f t="shared" ca="1" si="17"/>
        <v>663.45508100000006</v>
      </c>
      <c r="F57" s="1">
        <f t="shared" ca="1" si="17"/>
        <v>186.95377679999999</v>
      </c>
      <c r="G57" s="1">
        <f t="shared" ca="1" si="17"/>
        <v>12.127708900000002</v>
      </c>
      <c r="H57" s="1">
        <f t="shared" ca="1" si="17"/>
        <v>21.176154299999997</v>
      </c>
      <c r="I57" s="1">
        <f t="shared" ca="1" si="17"/>
        <v>1.4200697</v>
      </c>
      <c r="J57" s="1">
        <f t="shared" ca="1" si="17"/>
        <v>3.3333236999999998</v>
      </c>
      <c r="K57" s="1">
        <f t="shared" ca="1" si="17"/>
        <v>0.35563139999999993</v>
      </c>
      <c r="L57" s="1">
        <f t="shared" ca="1" si="17"/>
        <v>1.0420393000000001</v>
      </c>
      <c r="M57" s="1">
        <f t="shared" ca="1" si="17"/>
        <v>2.7311099999999998E-2</v>
      </c>
      <c r="N57" s="1">
        <f t="shared" ca="1" si="17"/>
        <v>0</v>
      </c>
      <c r="O57" s="1">
        <f t="shared" ca="1" si="17"/>
        <v>0</v>
      </c>
      <c r="P57" s="1">
        <f ca="1">SUM(OFFSET($A$55,2,1,1,14))</f>
        <v>8259.1940121999996</v>
      </c>
      <c r="Q57" s="2">
        <f ca="1">SUM(OFFSET($A$55,2,1,1,12))</f>
        <v>8259.1940121999996</v>
      </c>
    </row>
    <row r="58" spans="1:24" x14ac:dyDescent="0.2">
      <c r="A58" s="1">
        <v>2</v>
      </c>
      <c r="B58" s="1">
        <f t="shared" ca="1" si="17"/>
        <v>2120.36951</v>
      </c>
      <c r="C58" s="1">
        <f t="shared" ca="1" si="17"/>
        <v>14146.254500000001</v>
      </c>
      <c r="D58" s="1">
        <f t="shared" ca="1" si="17"/>
        <v>4269.8068330000006</v>
      </c>
      <c r="E58" s="1">
        <f t="shared" ca="1" si="17"/>
        <v>2697.8436800000009</v>
      </c>
      <c r="F58" s="1">
        <f t="shared" ca="1" si="17"/>
        <v>1446.1873130000001</v>
      </c>
      <c r="G58" s="1">
        <f t="shared" ca="1" si="17"/>
        <v>192.89007250000003</v>
      </c>
      <c r="H58" s="1">
        <f t="shared" ca="1" si="17"/>
        <v>88.337806300000025</v>
      </c>
      <c r="I58" s="1">
        <f t="shared" ca="1" si="17"/>
        <v>17.594959499999998</v>
      </c>
      <c r="J58" s="1">
        <f t="shared" ca="1" si="17"/>
        <v>22.446404699999995</v>
      </c>
      <c r="K58" s="1">
        <f t="shared" ca="1" si="17"/>
        <v>5.4246644000000002</v>
      </c>
      <c r="L58" s="1">
        <f t="shared" ca="1" si="17"/>
        <v>30.091342999999998</v>
      </c>
      <c r="M58" s="1">
        <f t="shared" ca="1" si="17"/>
        <v>0.82524580000000003</v>
      </c>
      <c r="N58" s="1">
        <f t="shared" ca="1" si="17"/>
        <v>0</v>
      </c>
      <c r="O58" s="1">
        <f t="shared" ca="1" si="17"/>
        <v>0</v>
      </c>
      <c r="P58" s="1">
        <f ca="1">SUM(OFFSET($A$55,3,1,1,14))</f>
        <v>25038.072332200001</v>
      </c>
      <c r="Q58" s="2">
        <f ca="1">SUM(OFFSET($A$55,3,1,1,12))</f>
        <v>25038.072332200001</v>
      </c>
    </row>
    <row r="59" spans="1:24" x14ac:dyDescent="0.2">
      <c r="A59" s="1">
        <v>3</v>
      </c>
      <c r="B59" s="1">
        <f t="shared" ca="1" si="17"/>
        <v>2140.5872570000001</v>
      </c>
      <c r="C59" s="1">
        <f t="shared" ca="1" si="17"/>
        <v>2519.635777</v>
      </c>
      <c r="D59" s="1">
        <f t="shared" ca="1" si="17"/>
        <v>15317.918320000001</v>
      </c>
      <c r="E59" s="1">
        <f t="shared" ca="1" si="17"/>
        <v>26162.758499999996</v>
      </c>
      <c r="F59" s="1">
        <f t="shared" ca="1" si="17"/>
        <v>2981.0942150000001</v>
      </c>
      <c r="G59" s="1">
        <f t="shared" ca="1" si="17"/>
        <v>653.30504139999994</v>
      </c>
      <c r="H59" s="1">
        <f t="shared" ca="1" si="17"/>
        <v>766.77527229999998</v>
      </c>
      <c r="I59" s="1">
        <f t="shared" ca="1" si="17"/>
        <v>81.392949000000002</v>
      </c>
      <c r="J59" s="1">
        <f t="shared" ca="1" si="17"/>
        <v>203.26392740000003</v>
      </c>
      <c r="K59" s="1">
        <f t="shared" ca="1" si="17"/>
        <v>50.396050099999997</v>
      </c>
      <c r="L59" s="1">
        <f t="shared" ca="1" si="17"/>
        <v>54.887879900000001</v>
      </c>
      <c r="M59" s="1">
        <f t="shared" ca="1" si="17"/>
        <v>8.9237969999999986</v>
      </c>
      <c r="N59" s="1">
        <f t="shared" ca="1" si="17"/>
        <v>0</v>
      </c>
      <c r="O59" s="1">
        <f t="shared" ca="1" si="17"/>
        <v>0</v>
      </c>
      <c r="P59" s="1">
        <f ca="1">SUM(OFFSET($A$55,4,1,1,14))</f>
        <v>50940.938986100002</v>
      </c>
      <c r="Q59" s="2">
        <f ca="1">SUM(OFFSET($A$55,4,1,1,12))</f>
        <v>50940.938986100002</v>
      </c>
    </row>
    <row r="60" spans="1:24" x14ac:dyDescent="0.2">
      <c r="A60" s="1">
        <v>4</v>
      </c>
      <c r="B60" s="1">
        <f t="shared" ca="1" si="17"/>
        <v>625.18176000000005</v>
      </c>
      <c r="C60" s="1">
        <f t="shared" ca="1" si="17"/>
        <v>2287.8765699999999</v>
      </c>
      <c r="D60" s="1">
        <f t="shared" ca="1" si="17"/>
        <v>27838.742099999996</v>
      </c>
      <c r="E60" s="1">
        <f t="shared" ca="1" si="17"/>
        <v>116320.58400000002</v>
      </c>
      <c r="F60" s="1">
        <f t="shared" ca="1" si="17"/>
        <v>9076.518689999999</v>
      </c>
      <c r="G60" s="1">
        <f t="shared" ca="1" si="17"/>
        <v>733.88938840000003</v>
      </c>
      <c r="H60" s="1">
        <f t="shared" ca="1" si="17"/>
        <v>3331.0887799999996</v>
      </c>
      <c r="I60" s="1">
        <f t="shared" ca="1" si="17"/>
        <v>510.33626550000008</v>
      </c>
      <c r="J60" s="1">
        <f t="shared" ca="1" si="17"/>
        <v>806.31084390000012</v>
      </c>
      <c r="K60" s="1">
        <f t="shared" ca="1" si="17"/>
        <v>204.83779510000002</v>
      </c>
      <c r="L60" s="1">
        <f t="shared" ca="1" si="17"/>
        <v>58.232648500000003</v>
      </c>
      <c r="M60" s="1">
        <f t="shared" ca="1" si="17"/>
        <v>31.193167899999999</v>
      </c>
      <c r="N60" s="1">
        <f t="shared" ca="1" si="17"/>
        <v>0</v>
      </c>
      <c r="O60" s="1">
        <f t="shared" ca="1" si="17"/>
        <v>0</v>
      </c>
      <c r="P60" s="1">
        <f ca="1">SUM(OFFSET($A$55,5,1,1,14))</f>
        <v>161824.7920093</v>
      </c>
      <c r="Q60" s="2">
        <f ca="1">SUM(OFFSET($A$55,5,1,1,12))</f>
        <v>161824.7920093</v>
      </c>
    </row>
    <row r="61" spans="1:24" x14ac:dyDescent="0.2">
      <c r="A61" s="1">
        <v>5</v>
      </c>
      <c r="B61" s="1">
        <f t="shared" ca="1" si="17"/>
        <v>186.9028035</v>
      </c>
      <c r="C61" s="1">
        <f t="shared" ca="1" si="17"/>
        <v>1475.9256740000001</v>
      </c>
      <c r="D61" s="1">
        <f t="shared" ca="1" si="17"/>
        <v>3957.0649568000003</v>
      </c>
      <c r="E61" s="1">
        <f t="shared" ca="1" si="17"/>
        <v>8935.3114999999998</v>
      </c>
      <c r="F61" s="1">
        <f t="shared" ca="1" si="17"/>
        <v>28792.449199999999</v>
      </c>
      <c r="G61" s="1">
        <f t="shared" ca="1" si="17"/>
        <v>4688.4569699999993</v>
      </c>
      <c r="H61" s="1">
        <f t="shared" ca="1" si="17"/>
        <v>1416.02692</v>
      </c>
      <c r="I61" s="1">
        <f t="shared" ca="1" si="17"/>
        <v>334.2276956</v>
      </c>
      <c r="J61" s="1">
        <f t="shared" ca="1" si="17"/>
        <v>1282.9019800000001</v>
      </c>
      <c r="K61" s="1">
        <f t="shared" ca="1" si="17"/>
        <v>76.171711700000003</v>
      </c>
      <c r="L61" s="1">
        <f t="shared" ca="1" si="17"/>
        <v>317.21745490000001</v>
      </c>
      <c r="M61" s="1">
        <f t="shared" ca="1" si="17"/>
        <v>85.281630800000002</v>
      </c>
      <c r="N61" s="1">
        <f t="shared" ca="1" si="17"/>
        <v>0</v>
      </c>
      <c r="O61" s="1">
        <f t="shared" ca="1" si="17"/>
        <v>0</v>
      </c>
      <c r="P61" s="1">
        <f ca="1">SUM(OFFSET($A$55,6,1,1,14))</f>
        <v>51547.938497299991</v>
      </c>
      <c r="Q61" s="2">
        <f ca="1">SUM(OFFSET($A$55,6,1,1,12))</f>
        <v>51547.938497299991</v>
      </c>
    </row>
    <row r="62" spans="1:24" x14ac:dyDescent="0.2">
      <c r="A62" s="1">
        <v>6</v>
      </c>
      <c r="B62" s="1">
        <f t="shared" ca="1" si="17"/>
        <v>12.852129399999999</v>
      </c>
      <c r="C62" s="1">
        <f t="shared" ca="1" si="17"/>
        <v>184.57283809999998</v>
      </c>
      <c r="D62" s="1">
        <f t="shared" ca="1" si="17"/>
        <v>1072.3195699999999</v>
      </c>
      <c r="E62" s="1">
        <f t="shared" ca="1" si="17"/>
        <v>782.81892720000019</v>
      </c>
      <c r="F62" s="1">
        <f t="shared" ca="1" si="17"/>
        <v>4170.9820300000001</v>
      </c>
      <c r="G62" s="1">
        <f t="shared" ca="1" si="17"/>
        <v>14613.1965</v>
      </c>
      <c r="H62" s="1">
        <f t="shared" ca="1" si="17"/>
        <v>92.380213899999987</v>
      </c>
      <c r="I62" s="1">
        <f t="shared" ca="1" si="17"/>
        <v>32.115110099999995</v>
      </c>
      <c r="J62" s="1">
        <f t="shared" ca="1" si="17"/>
        <v>216.025542</v>
      </c>
      <c r="K62" s="1">
        <f t="shared" ca="1" si="17"/>
        <v>9.965117600000001</v>
      </c>
      <c r="L62" s="1">
        <f t="shared" ca="1" si="17"/>
        <v>1018.3494500000002</v>
      </c>
      <c r="M62" s="1">
        <f t="shared" ca="1" si="17"/>
        <v>74.8720845</v>
      </c>
      <c r="N62" s="1">
        <f t="shared" ca="1" si="17"/>
        <v>0</v>
      </c>
      <c r="O62" s="1">
        <f t="shared" ca="1" si="17"/>
        <v>0</v>
      </c>
      <c r="P62" s="1">
        <f ca="1">SUM(OFFSET($A$55,7,1,1,14))</f>
        <v>22280.449512800002</v>
      </c>
      <c r="Q62" s="2">
        <f ca="1">SUM(OFFSET($A$55,7,1,1,12))</f>
        <v>22280.449512800002</v>
      </c>
    </row>
    <row r="63" spans="1:24" x14ac:dyDescent="0.2">
      <c r="A63" s="1">
        <v>7</v>
      </c>
      <c r="B63" s="1">
        <f t="shared" ca="1" si="17"/>
        <v>19.984262199999996</v>
      </c>
      <c r="C63" s="1">
        <f t="shared" ca="1" si="17"/>
        <v>79.924703600000001</v>
      </c>
      <c r="D63" s="1">
        <f t="shared" ca="1" si="17"/>
        <v>1257.9397317999999</v>
      </c>
      <c r="E63" s="1">
        <f t="shared" ca="1" si="17"/>
        <v>3591.4258800000002</v>
      </c>
      <c r="F63" s="1">
        <f t="shared" ca="1" si="17"/>
        <v>1203.8734250000002</v>
      </c>
      <c r="G63" s="1">
        <f t="shared" ca="1" si="17"/>
        <v>89.2855208</v>
      </c>
      <c r="H63" s="1">
        <f t="shared" ca="1" si="17"/>
        <v>16871.415499999999</v>
      </c>
      <c r="I63" s="1">
        <f t="shared" ca="1" si="17"/>
        <v>569.87311799999998</v>
      </c>
      <c r="J63" s="1">
        <f t="shared" ca="1" si="17"/>
        <v>731.99595899999997</v>
      </c>
      <c r="K63" s="1">
        <f t="shared" ca="1" si="17"/>
        <v>190.6587519</v>
      </c>
      <c r="L63" s="1">
        <f t="shared" ca="1" si="17"/>
        <v>9.0567589999999978</v>
      </c>
      <c r="M63" s="1">
        <f t="shared" ca="1" si="17"/>
        <v>33.5663512</v>
      </c>
      <c r="N63" s="1">
        <f t="shared" ca="1" si="17"/>
        <v>0</v>
      </c>
      <c r="O63" s="1">
        <f t="shared" ca="1" si="17"/>
        <v>0</v>
      </c>
      <c r="P63" s="1">
        <f ca="1">SUM(OFFSET($A$55,8,1,1,14))</f>
        <v>24648.999962499995</v>
      </c>
      <c r="Q63" s="2">
        <f ca="1">SUM(OFFSET($A$55,8,1,1,12))</f>
        <v>24648.999962499995</v>
      </c>
    </row>
    <row r="64" spans="1:24" x14ac:dyDescent="0.2">
      <c r="A64" s="1">
        <v>8</v>
      </c>
      <c r="B64" s="1">
        <f t="shared" ca="1" si="17"/>
        <v>1.6680260000000002</v>
      </c>
      <c r="C64" s="1">
        <f t="shared" ca="1" si="17"/>
        <v>18.623396799999995</v>
      </c>
      <c r="D64" s="1">
        <f t="shared" ca="1" si="17"/>
        <v>164.60810449999997</v>
      </c>
      <c r="E64" s="1">
        <f t="shared" ca="1" si="17"/>
        <v>625.01245340000003</v>
      </c>
      <c r="F64" s="1">
        <f t="shared" ca="1" si="17"/>
        <v>273.9831011</v>
      </c>
      <c r="G64" s="1">
        <f t="shared" ca="1" si="17"/>
        <v>25.434307800000003</v>
      </c>
      <c r="H64" s="1">
        <f t="shared" ca="1" si="17"/>
        <v>719.39807300000007</v>
      </c>
      <c r="I64" s="1">
        <f t="shared" ca="1" si="17"/>
        <v>2357.0600899999999</v>
      </c>
      <c r="J64" s="1">
        <f t="shared" ca="1" si="17"/>
        <v>825.08719999999994</v>
      </c>
      <c r="K64" s="1">
        <f t="shared" ca="1" si="17"/>
        <v>106.22695500000002</v>
      </c>
      <c r="L64" s="1">
        <f t="shared" ca="1" si="17"/>
        <v>5.7148759999999985</v>
      </c>
      <c r="M64" s="1">
        <f t="shared" ca="1" si="17"/>
        <v>41.780262399999998</v>
      </c>
      <c r="N64" s="1">
        <f t="shared" ca="1" si="17"/>
        <v>0</v>
      </c>
      <c r="O64" s="1">
        <f t="shared" ca="1" si="17"/>
        <v>5.7816999999999999E-3</v>
      </c>
      <c r="P64" s="1">
        <f ca="1">SUM(OFFSET($A$55,9,1,1,14))</f>
        <v>5164.6026276999992</v>
      </c>
      <c r="Q64" s="2">
        <f ca="1">SUM(OFFSET($A$55,9,1,1,12))</f>
        <v>5164.5968459999995</v>
      </c>
    </row>
    <row r="65" spans="1:17" x14ac:dyDescent="0.2">
      <c r="A65" s="1">
        <v>9</v>
      </c>
      <c r="B65" s="1">
        <f t="shared" ca="1" si="17"/>
        <v>2.4388738999999999</v>
      </c>
      <c r="C65" s="1">
        <f t="shared" ca="1" si="17"/>
        <v>19.618151800000003</v>
      </c>
      <c r="D65" s="1">
        <f t="shared" ca="1" si="17"/>
        <v>320.93823900000001</v>
      </c>
      <c r="E65" s="1">
        <f t="shared" ca="1" si="17"/>
        <v>774.6210767</v>
      </c>
      <c r="F65" s="1">
        <f t="shared" ca="1" si="17"/>
        <v>952.46627299999989</v>
      </c>
      <c r="G65" s="1">
        <f t="shared" ca="1" si="17"/>
        <v>189.40802899999997</v>
      </c>
      <c r="H65" s="1">
        <f t="shared" ca="1" si="17"/>
        <v>610.58827999999994</v>
      </c>
      <c r="I65" s="1">
        <f t="shared" ca="1" si="17"/>
        <v>763.57347100000015</v>
      </c>
      <c r="J65" s="1">
        <f t="shared" ca="1" si="17"/>
        <v>31943.419000000002</v>
      </c>
      <c r="K65" s="1">
        <f t="shared" ca="1" si="17"/>
        <v>1520.5044399999999</v>
      </c>
      <c r="L65" s="1">
        <f t="shared" ca="1" si="17"/>
        <v>165.8428456</v>
      </c>
      <c r="M65" s="1">
        <f t="shared" ca="1" si="17"/>
        <v>2390.1230599999999</v>
      </c>
      <c r="N65" s="1">
        <f t="shared" ca="1" si="17"/>
        <v>8.6404900000000007E-2</v>
      </c>
      <c r="O65" s="1">
        <f t="shared" ca="1" si="17"/>
        <v>29.248438899999996</v>
      </c>
      <c r="P65" s="1">
        <f ca="1">SUM(OFFSET($A$55,10,1,1,14))</f>
        <v>39682.876583799996</v>
      </c>
      <c r="Q65" s="2">
        <f ca="1">SUM(OFFSET($A$55,10,1,1,12))</f>
        <v>39653.541739999993</v>
      </c>
    </row>
    <row r="66" spans="1:17" x14ac:dyDescent="0.2">
      <c r="A66" s="1">
        <v>10</v>
      </c>
      <c r="B66" s="1">
        <f t="shared" ca="1" si="17"/>
        <v>0.41614019999999996</v>
      </c>
      <c r="C66" s="1">
        <f t="shared" ca="1" si="17"/>
        <v>6.0275915000000007</v>
      </c>
      <c r="D66" s="1">
        <f t="shared" ca="1" si="17"/>
        <v>102.08523190000001</v>
      </c>
      <c r="E66" s="1">
        <f t="shared" ca="1" si="17"/>
        <v>269.00420509999998</v>
      </c>
      <c r="F66" s="1">
        <f t="shared" ca="1" si="17"/>
        <v>83.527101200000018</v>
      </c>
      <c r="G66" s="1">
        <f t="shared" ca="1" si="17"/>
        <v>9.5565287000000012</v>
      </c>
      <c r="H66" s="1">
        <f t="shared" ca="1" si="17"/>
        <v>214.13905089999997</v>
      </c>
      <c r="I66" s="1">
        <f t="shared" ca="1" si="17"/>
        <v>89.140611699999994</v>
      </c>
      <c r="J66" s="1">
        <f t="shared" ca="1" si="17"/>
        <v>1686.2717500000001</v>
      </c>
      <c r="K66" s="1">
        <f t="shared" ca="1" si="17"/>
        <v>4925.51638</v>
      </c>
      <c r="L66" s="1">
        <f t="shared" ca="1" si="17"/>
        <v>6.5165756999999997</v>
      </c>
      <c r="M66" s="1">
        <f t="shared" ca="1" si="17"/>
        <v>277.06213200000002</v>
      </c>
      <c r="N66" s="1">
        <f t="shared" ca="1" si="17"/>
        <v>0</v>
      </c>
      <c r="O66" s="1">
        <f t="shared" ca="1" si="17"/>
        <v>0.57034040000000008</v>
      </c>
      <c r="P66" s="1">
        <f ca="1">SUM(OFFSET($A$55,11,1,1,14))</f>
        <v>7669.8336393</v>
      </c>
      <c r="Q66" s="2">
        <f ca="1">SUM(OFFSET($A$55,11,1,1,12))</f>
        <v>7669.2632989000003</v>
      </c>
    </row>
    <row r="67" spans="1:17" x14ac:dyDescent="0.2">
      <c r="A67" s="1">
        <v>11</v>
      </c>
      <c r="B67" s="1">
        <f t="shared" ca="1" si="17"/>
        <v>1.3661612000000001</v>
      </c>
      <c r="C67" s="1">
        <f t="shared" ca="1" si="17"/>
        <v>33.382584999999999</v>
      </c>
      <c r="D67" s="1">
        <f t="shared" ca="1" si="17"/>
        <v>107.50531819999999</v>
      </c>
      <c r="E67" s="1">
        <f t="shared" ca="1" si="17"/>
        <v>77.462595500000006</v>
      </c>
      <c r="F67" s="1">
        <f t="shared" ca="1" si="17"/>
        <v>348.92691829999995</v>
      </c>
      <c r="G67" s="1">
        <f t="shared" ca="1" si="17"/>
        <v>734.11087499999996</v>
      </c>
      <c r="H67" s="1">
        <f t="shared" ca="1" si="17"/>
        <v>9.5261809</v>
      </c>
      <c r="I67" s="1">
        <f t="shared" ca="1" si="17"/>
        <v>7.5202666000000002</v>
      </c>
      <c r="J67" s="1">
        <f t="shared" ca="1" si="17"/>
        <v>152.0699735</v>
      </c>
      <c r="K67" s="1">
        <f t="shared" ca="1" si="17"/>
        <v>3.4485312000000001</v>
      </c>
      <c r="L67" s="1">
        <f t="shared" ca="1" si="17"/>
        <v>4266.1480499999998</v>
      </c>
      <c r="M67" s="1">
        <f t="shared" ca="1" si="17"/>
        <v>127.07574680000002</v>
      </c>
      <c r="N67" s="1">
        <f t="shared" ca="1" si="17"/>
        <v>0</v>
      </c>
      <c r="O67" s="1">
        <f t="shared" ca="1" si="17"/>
        <v>0.52622329999999995</v>
      </c>
      <c r="P67" s="1">
        <f ca="1">SUM(OFFSET($A$55,12,1,1,14))</f>
        <v>5869.0694254999999</v>
      </c>
      <c r="Q67" s="2">
        <f ca="1">SUM(OFFSET($A$55,12,1,1,12))</f>
        <v>5868.5432021999995</v>
      </c>
    </row>
    <row r="68" spans="1:17" x14ac:dyDescent="0.2">
      <c r="A68" s="1">
        <v>12</v>
      </c>
      <c r="B68" s="1">
        <f t="shared" ca="1" si="17"/>
        <v>3.6060000000000002E-2</v>
      </c>
      <c r="C68" s="1">
        <f t="shared" ca="1" si="17"/>
        <v>2.8862218999999993</v>
      </c>
      <c r="D68" s="1">
        <f t="shared" ca="1" si="17"/>
        <v>24.030590000000004</v>
      </c>
      <c r="E68" s="1">
        <f t="shared" ca="1" si="17"/>
        <v>35.221599199999993</v>
      </c>
      <c r="F68" s="1">
        <f t="shared" ca="1" si="17"/>
        <v>86.085208000000009</v>
      </c>
      <c r="G68" s="1">
        <f t="shared" ca="1" si="17"/>
        <v>82.748694399999991</v>
      </c>
      <c r="H68" s="1">
        <f t="shared" ca="1" si="17"/>
        <v>28.875057399999999</v>
      </c>
      <c r="I68" s="1">
        <f t="shared" ca="1" si="17"/>
        <v>32.981836399999999</v>
      </c>
      <c r="J68" s="1">
        <f t="shared" ca="1" si="17"/>
        <v>2245.9673400000001</v>
      </c>
      <c r="K68" s="1">
        <f t="shared" ca="1" si="17"/>
        <v>239.507576</v>
      </c>
      <c r="L68" s="1">
        <f t="shared" ca="1" si="17"/>
        <v>163.89262930000001</v>
      </c>
      <c r="M68" s="1">
        <f t="shared" ca="1" si="17"/>
        <v>6100.3458999999993</v>
      </c>
      <c r="N68" s="1">
        <f t="shared" ca="1" si="17"/>
        <v>3.1594809999999991</v>
      </c>
      <c r="O68" s="1">
        <f t="shared" ca="1" si="17"/>
        <v>178.74732600000002</v>
      </c>
      <c r="P68" s="1">
        <f ca="1">SUM(OFFSET($A$55,13,1,1,14))</f>
        <v>9224.4855196000008</v>
      </c>
      <c r="Q68" s="2">
        <f ca="1">SUM(OFFSET($A$55,13,1,1,12))</f>
        <v>9042.5787125999996</v>
      </c>
    </row>
    <row r="69" spans="1:17" x14ac:dyDescent="0.2">
      <c r="A69" s="1">
        <v>13</v>
      </c>
      <c r="B69" s="1">
        <f t="shared" ca="1" si="17"/>
        <v>0</v>
      </c>
      <c r="C69" s="1">
        <f t="shared" ca="1" si="17"/>
        <v>0</v>
      </c>
      <c r="D69" s="1">
        <f t="shared" ca="1" si="17"/>
        <v>0</v>
      </c>
      <c r="E69" s="1">
        <f t="shared" ca="1" si="17"/>
        <v>0</v>
      </c>
      <c r="F69" s="1">
        <f t="shared" ca="1" si="17"/>
        <v>0</v>
      </c>
      <c r="G69" s="1">
        <f t="shared" ca="1" si="17"/>
        <v>0</v>
      </c>
      <c r="H69" s="1">
        <f t="shared" ca="1" si="17"/>
        <v>0</v>
      </c>
      <c r="I69" s="1">
        <f t="shared" ca="1" si="17"/>
        <v>0</v>
      </c>
      <c r="J69" s="1">
        <f t="shared" ca="1" si="17"/>
        <v>6.0257999999999996E-3</v>
      </c>
      <c r="K69" s="1">
        <f t="shared" ca="1" si="17"/>
        <v>0</v>
      </c>
      <c r="L69" s="1">
        <f t="shared" ca="1" si="17"/>
        <v>0</v>
      </c>
      <c r="M69" s="1">
        <f t="shared" ca="1" si="17"/>
        <v>1.9153416000000003</v>
      </c>
      <c r="N69" s="1">
        <f t="shared" ca="1" si="17"/>
        <v>1067.29711</v>
      </c>
      <c r="O69" s="1">
        <f t="shared" ca="1" si="17"/>
        <v>455.18589499999996</v>
      </c>
      <c r="P69" s="1">
        <f ca="1">SUM(OFFSET($A$55,14,1,1,14))</f>
        <v>1524.4043723999998</v>
      </c>
      <c r="Q69" s="2">
        <f ca="1">SUM(OFFSET($A$55,14,1,1,12))</f>
        <v>1.9213674000000003</v>
      </c>
    </row>
    <row r="70" spans="1:17" x14ac:dyDescent="0.2">
      <c r="A70" s="1">
        <v>14</v>
      </c>
      <c r="B70" s="1">
        <f t="shared" ca="1" si="17"/>
        <v>0</v>
      </c>
      <c r="C70" s="1">
        <f t="shared" ca="1" si="17"/>
        <v>0</v>
      </c>
      <c r="D70" s="1">
        <f t="shared" ca="1" si="17"/>
        <v>0</v>
      </c>
      <c r="E70" s="1">
        <f t="shared" ca="1" si="17"/>
        <v>0</v>
      </c>
      <c r="F70" s="1">
        <f t="shared" ca="1" si="17"/>
        <v>0</v>
      </c>
      <c r="G70" s="1">
        <f t="shared" ca="1" si="17"/>
        <v>0</v>
      </c>
      <c r="H70" s="1">
        <f t="shared" ca="1" si="17"/>
        <v>0</v>
      </c>
      <c r="I70" s="1">
        <f t="shared" ca="1" si="17"/>
        <v>0</v>
      </c>
      <c r="J70" s="1">
        <f t="shared" ca="1" si="17"/>
        <v>16.827872799999998</v>
      </c>
      <c r="K70" s="1">
        <f t="shared" ca="1" si="17"/>
        <v>0</v>
      </c>
      <c r="L70" s="1">
        <f t="shared" ca="1" si="17"/>
        <v>1.0955100000000001E-2</v>
      </c>
      <c r="M70" s="1">
        <f t="shared" ca="1" si="17"/>
        <v>150.028424</v>
      </c>
      <c r="N70" s="1">
        <f t="shared" ca="1" si="17"/>
        <v>502.71577800000006</v>
      </c>
      <c r="O70" s="1">
        <f t="shared" ca="1" si="17"/>
        <v>11827.450899999998</v>
      </c>
      <c r="P70" s="1">
        <f ca="1">SUM(OFFSET($A$55,15,1,1,14))</f>
        <v>12497.033929899999</v>
      </c>
      <c r="Q70" s="2">
        <f ca="1">SUM(OFFSET($A$55,15,1,1,12))</f>
        <v>166.86725189999999</v>
      </c>
    </row>
    <row r="71" spans="1:17" x14ac:dyDescent="0.2">
      <c r="A71" s="1" t="s">
        <v>43</v>
      </c>
      <c r="B71" s="1">
        <f ca="1">SUM(OFFSET($A$55,2,1,14,1))</f>
        <v>7750.8443234000006</v>
      </c>
      <c r="C71" s="1">
        <f ca="1">SUM(OFFSET($A$55,2,2,14,1))</f>
        <v>22854.526939700005</v>
      </c>
      <c r="D71" s="1">
        <f ca="1">SUM(OFFSET($A$55,2,3,14,1))</f>
        <v>57083.421641199995</v>
      </c>
      <c r="E71" s="1">
        <f ca="1">SUM(OFFSET($A$55,2,4,14,1))</f>
        <v>160935.51949810001</v>
      </c>
      <c r="F71" s="1">
        <f ca="1">SUM(OFFSET($A$55,2,5,14,1))</f>
        <v>49603.047251399992</v>
      </c>
      <c r="G71" s="1">
        <f ca="1">SUM(OFFSET($A$55,2,6,14,1))</f>
        <v>22024.409636899993</v>
      </c>
      <c r="H71" s="1">
        <f ca="1">SUM(OFFSET($A$55,2,7,14,1))</f>
        <v>24169.727289000002</v>
      </c>
      <c r="I71" s="1">
        <f ca="1">SUM(OFFSET($A$55,2,8,14,1))</f>
        <v>4797.2364430999996</v>
      </c>
      <c r="J71" s="1">
        <f ca="1">SUM(OFFSET($A$55,2,9,14,1))</f>
        <v>40135.927142800007</v>
      </c>
      <c r="K71" s="1">
        <f ca="1">SUM(OFFSET($A$55,2,10,14,1))</f>
        <v>7333.0136043999992</v>
      </c>
      <c r="L71" s="1">
        <f ca="1">SUM(OFFSET($A$55,2,11,14,1))</f>
        <v>6097.0035062999996</v>
      </c>
      <c r="M71" s="1">
        <f ca="1">SUM(OFFSET($A$55,2,12,14,1))</f>
        <v>9323.0204551000006</v>
      </c>
      <c r="N71" s="1">
        <f ca="1">SUM(OFFSET($A$55,2,13,14,1))</f>
        <v>1573.2587739000001</v>
      </c>
      <c r="O71" s="1">
        <f ca="1">SUM(OFFSET($A$55,2,14,14,1))</f>
        <v>12491.734905299998</v>
      </c>
      <c r="P71" s="1">
        <f ca="1">SUM(OFFSET($A$55,16,1,1,14))</f>
        <v>426172.69141059997</v>
      </c>
      <c r="Q71" s="2">
        <f ca="1">SUM(OFFSET($A$55,16,1,1,12))</f>
        <v>412107.69773139997</v>
      </c>
    </row>
    <row r="72" spans="1:17" x14ac:dyDescent="0.2">
      <c r="O72" s="11" t="s">
        <v>59</v>
      </c>
      <c r="P72" s="1">
        <f ca="1">SUM(B57:M68)</f>
        <v>411938.90911210002</v>
      </c>
    </row>
    <row r="73" spans="1:17" x14ac:dyDescent="0.2">
      <c r="A73" s="1" t="s">
        <v>48</v>
      </c>
    </row>
    <row r="74" spans="1:17" x14ac:dyDescent="0.2">
      <c r="B74" s="1">
        <v>1</v>
      </c>
      <c r="C74" s="1">
        <v>2</v>
      </c>
      <c r="D74" s="1">
        <v>3</v>
      </c>
      <c r="E74" s="1">
        <v>4</v>
      </c>
      <c r="F74" s="1">
        <v>5</v>
      </c>
      <c r="G74" s="1">
        <v>6</v>
      </c>
      <c r="H74" s="1">
        <v>7</v>
      </c>
      <c r="I74" s="1">
        <v>8</v>
      </c>
      <c r="J74" s="1">
        <v>9</v>
      </c>
      <c r="K74" s="1">
        <v>10</v>
      </c>
      <c r="L74" s="1">
        <v>11</v>
      </c>
      <c r="M74" s="1">
        <v>12</v>
      </c>
      <c r="N74" s="1">
        <v>13</v>
      </c>
      <c r="O74" s="1">
        <v>14</v>
      </c>
      <c r="P74" s="1" t="s">
        <v>43</v>
      </c>
      <c r="Q74" s="2" t="s">
        <v>61</v>
      </c>
    </row>
    <row r="75" spans="1:17" x14ac:dyDescent="0.2">
      <c r="A75" s="1">
        <v>1</v>
      </c>
      <c r="B75" s="1">
        <f t="shared" ref="B75:O88" ca="1" si="18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0</v>
      </c>
      <c r="C75" s="1">
        <f t="shared" ca="1" si="18"/>
        <v>75.448734099999996</v>
      </c>
      <c r="D75" s="1">
        <f t="shared" ca="1" si="18"/>
        <v>1171.4233099999999</v>
      </c>
      <c r="E75" s="1">
        <f t="shared" ca="1" si="18"/>
        <v>914.82310399999983</v>
      </c>
      <c r="F75" s="1">
        <f t="shared" ca="1" si="18"/>
        <v>472.4954752000001</v>
      </c>
      <c r="G75" s="1">
        <f t="shared" ca="1" si="18"/>
        <v>43.265878499999999</v>
      </c>
      <c r="H75" s="1">
        <f t="shared" ca="1" si="18"/>
        <v>108.58428450000002</v>
      </c>
      <c r="I75" s="1">
        <f t="shared" ca="1" si="18"/>
        <v>5.1494479999999996</v>
      </c>
      <c r="J75" s="1">
        <f t="shared" ca="1" si="18"/>
        <v>52.027547300000002</v>
      </c>
      <c r="K75" s="1">
        <f t="shared" ca="1" si="18"/>
        <v>1.5925899999999997</v>
      </c>
      <c r="L75" s="1">
        <f t="shared" ca="1" si="18"/>
        <v>6.7853985000000003</v>
      </c>
      <c r="M75" s="1">
        <f t="shared" ca="1" si="18"/>
        <v>2.8451796000000007</v>
      </c>
      <c r="N75" s="1">
        <f t="shared" ca="1" si="18"/>
        <v>0</v>
      </c>
      <c r="O75" s="1">
        <f t="shared" ca="1" si="18"/>
        <v>0</v>
      </c>
      <c r="P75" s="1">
        <f ca="1">SUM(OFFSET($A$73,2,1,1,14))</f>
        <v>2854.4409497000006</v>
      </c>
      <c r="Q75" s="2">
        <f ca="1">SUM(OFFSET($A$73,2,1,1,12))</f>
        <v>2854.4409497000006</v>
      </c>
    </row>
    <row r="76" spans="1:17" x14ac:dyDescent="0.2">
      <c r="A76" s="1">
        <v>2</v>
      </c>
      <c r="B76" s="1">
        <f t="shared" ca="1" si="18"/>
        <v>0</v>
      </c>
      <c r="C76" s="1">
        <f t="shared" ca="1" si="18"/>
        <v>0</v>
      </c>
      <c r="D76" s="1">
        <f t="shared" ca="1" si="18"/>
        <v>5805.1523120000011</v>
      </c>
      <c r="E76" s="1">
        <f t="shared" ca="1" si="18"/>
        <v>2195.40328</v>
      </c>
      <c r="F76" s="1">
        <f t="shared" ca="1" si="18"/>
        <v>1567.015275</v>
      </c>
      <c r="G76" s="1">
        <f t="shared" ca="1" si="18"/>
        <v>307.89962420000001</v>
      </c>
      <c r="H76" s="1">
        <f t="shared" ca="1" si="18"/>
        <v>246.22633770000007</v>
      </c>
      <c r="I76" s="1">
        <f t="shared" ca="1" si="18"/>
        <v>23.222351100000001</v>
      </c>
      <c r="J76" s="1">
        <f t="shared" ca="1" si="18"/>
        <v>284.54194050000007</v>
      </c>
      <c r="K76" s="1">
        <f t="shared" ca="1" si="18"/>
        <v>11.3330254</v>
      </c>
      <c r="L76" s="1">
        <f t="shared" ca="1" si="18"/>
        <v>39.313905799999993</v>
      </c>
      <c r="M76" s="1">
        <f t="shared" ca="1" si="18"/>
        <v>20.424426299999997</v>
      </c>
      <c r="N76" s="1">
        <f t="shared" ca="1" si="18"/>
        <v>0</v>
      </c>
      <c r="O76" s="1">
        <f t="shared" ca="1" si="18"/>
        <v>0</v>
      </c>
      <c r="P76" s="1">
        <f ca="1">SUM(OFFSET($A$73,3,1,1,14))</f>
        <v>10500.532477999997</v>
      </c>
      <c r="Q76" s="2">
        <f ca="1">SUM(OFFSET($A$73,3,1,1,12))</f>
        <v>10500.532477999997</v>
      </c>
    </row>
    <row r="77" spans="1:17" x14ac:dyDescent="0.2">
      <c r="A77" s="1">
        <v>3</v>
      </c>
      <c r="B77" s="1">
        <f t="shared" ca="1" si="18"/>
        <v>607.04970399999991</v>
      </c>
      <c r="C77" s="1">
        <f t="shared" ca="1" si="18"/>
        <v>4971.657991</v>
      </c>
      <c r="D77" s="1">
        <f t="shared" ca="1" si="18"/>
        <v>7735.9922499999993</v>
      </c>
      <c r="E77" s="1">
        <f t="shared" ca="1" si="18"/>
        <v>29767.373599999999</v>
      </c>
      <c r="F77" s="1">
        <f t="shared" ca="1" si="18"/>
        <v>13571.172162999999</v>
      </c>
      <c r="G77" s="1">
        <f t="shared" ca="1" si="18"/>
        <v>3240.3826528999994</v>
      </c>
      <c r="H77" s="1">
        <f t="shared" ca="1" si="18"/>
        <v>6844.2196718000005</v>
      </c>
      <c r="I77" s="1">
        <f t="shared" ca="1" si="18"/>
        <v>474.61987459999995</v>
      </c>
      <c r="J77" s="1">
        <f t="shared" ca="1" si="18"/>
        <v>4576.9154694999988</v>
      </c>
      <c r="K77" s="1">
        <f t="shared" ca="1" si="18"/>
        <v>414.14402010000003</v>
      </c>
      <c r="L77" s="1">
        <f t="shared" ca="1" si="18"/>
        <v>376.50606440000007</v>
      </c>
      <c r="M77" s="1">
        <f t="shared" ca="1" si="18"/>
        <v>262.04346770000006</v>
      </c>
      <c r="N77" s="1">
        <f t="shared" ca="1" si="18"/>
        <v>0</v>
      </c>
      <c r="O77" s="1">
        <f t="shared" ca="1" si="18"/>
        <v>1.1176875999999998</v>
      </c>
      <c r="P77" s="1">
        <f ca="1">SUM(OFFSET($A$73,4,1,1,14))</f>
        <v>72843.194616599998</v>
      </c>
      <c r="Q77" s="2">
        <f ca="1">SUM(OFFSET($A$73,4,1,1,12))</f>
        <v>72842.076929000003</v>
      </c>
    </row>
    <row r="78" spans="1:17" x14ac:dyDescent="0.2">
      <c r="A78" s="1">
        <v>4</v>
      </c>
      <c r="B78" s="1">
        <f t="shared" ca="1" si="18"/>
        <v>1277.2893900000001</v>
      </c>
      <c r="C78" s="1">
        <f t="shared" ca="1" si="18"/>
        <v>2929.7503900000002</v>
      </c>
      <c r="D78" s="1">
        <f t="shared" ca="1" si="18"/>
        <v>38403.850299999998</v>
      </c>
      <c r="E78" s="1">
        <f t="shared" ca="1" si="18"/>
        <v>25402.284499999998</v>
      </c>
      <c r="F78" s="1">
        <f t="shared" ca="1" si="18"/>
        <v>20951.656200000001</v>
      </c>
      <c r="G78" s="1">
        <f t="shared" ca="1" si="18"/>
        <v>2786.7146500000003</v>
      </c>
      <c r="H78" s="1">
        <f t="shared" ca="1" si="18"/>
        <v>11171.752419999999</v>
      </c>
      <c r="I78" s="1">
        <f t="shared" ca="1" si="18"/>
        <v>1101.6020040000001</v>
      </c>
      <c r="J78" s="1">
        <f t="shared" ca="1" si="18"/>
        <v>5596.4093950000006</v>
      </c>
      <c r="K78" s="1">
        <f t="shared" ca="1" si="18"/>
        <v>584.93019409999999</v>
      </c>
      <c r="L78" s="1">
        <f t="shared" ca="1" si="18"/>
        <v>306.71726110000003</v>
      </c>
      <c r="M78" s="1">
        <f t="shared" ca="1" si="18"/>
        <v>328.39629029999992</v>
      </c>
      <c r="N78" s="1">
        <f t="shared" ca="1" si="18"/>
        <v>0</v>
      </c>
      <c r="O78" s="1">
        <f t="shared" ca="1" si="18"/>
        <v>0.98210980000000003</v>
      </c>
      <c r="P78" s="1">
        <f ca="1">SUM(OFFSET($A$73,5,1,1,14))</f>
        <v>110842.33510429999</v>
      </c>
      <c r="Q78" s="2">
        <f ca="1">SUM(OFFSET($A$73,5,1,1,12))</f>
        <v>110841.35299449999</v>
      </c>
    </row>
    <row r="79" spans="1:17" x14ac:dyDescent="0.2">
      <c r="A79" s="1">
        <v>5</v>
      </c>
      <c r="B79" s="1">
        <f t="shared" ca="1" si="18"/>
        <v>584.24234199999989</v>
      </c>
      <c r="C79" s="1">
        <f t="shared" ca="1" si="18"/>
        <v>1927.0710020000001</v>
      </c>
      <c r="D79" s="1">
        <f t="shared" ca="1" si="18"/>
        <v>17470.564974999998</v>
      </c>
      <c r="E79" s="1">
        <f t="shared" ca="1" si="18"/>
        <v>20077.943000000003</v>
      </c>
      <c r="F79" s="1">
        <f t="shared" ca="1" si="18"/>
        <v>27530.725599999998</v>
      </c>
      <c r="G79" s="1">
        <f t="shared" ca="1" si="18"/>
        <v>7892.2581799999989</v>
      </c>
      <c r="H79" s="1">
        <f t="shared" ca="1" si="18"/>
        <v>3239.7239</v>
      </c>
      <c r="I79" s="1">
        <f t="shared" ca="1" si="18"/>
        <v>645.9026252000001</v>
      </c>
      <c r="J79" s="1">
        <f t="shared" ca="1" si="18"/>
        <v>11169.11284</v>
      </c>
      <c r="K79" s="1">
        <f t="shared" ca="1" si="18"/>
        <v>537.54839850000008</v>
      </c>
      <c r="L79" s="1">
        <f t="shared" ca="1" si="18"/>
        <v>967.80814320000002</v>
      </c>
      <c r="M79" s="1">
        <f t="shared" ca="1" si="18"/>
        <v>765.88144869999996</v>
      </c>
      <c r="N79" s="1">
        <f t="shared" ca="1" si="18"/>
        <v>0</v>
      </c>
      <c r="O79" s="1">
        <f t="shared" ca="1" si="18"/>
        <v>18.617370899999994</v>
      </c>
      <c r="P79" s="1">
        <f ca="1">SUM(OFFSET($A$73,6,1,1,14))</f>
        <v>92827.399825500004</v>
      </c>
      <c r="Q79" s="2">
        <f ca="1">SUM(OFFSET($A$73,6,1,1,12))</f>
        <v>92808.782454600005</v>
      </c>
    </row>
    <row r="80" spans="1:17" x14ac:dyDescent="0.2">
      <c r="A80" s="1">
        <v>6</v>
      </c>
      <c r="B80" s="1">
        <f t="shared" ca="1" si="18"/>
        <v>57.943527100000011</v>
      </c>
      <c r="C80" s="1">
        <f t="shared" ca="1" si="18"/>
        <v>410.22986889999999</v>
      </c>
      <c r="D80" s="1">
        <f t="shared" ca="1" si="18"/>
        <v>5535.7758161000002</v>
      </c>
      <c r="E80" s="1">
        <f t="shared" ca="1" si="18"/>
        <v>2814.9780610000003</v>
      </c>
      <c r="F80" s="1">
        <f t="shared" ca="1" si="18"/>
        <v>7651.1890500000018</v>
      </c>
      <c r="G80" s="1">
        <f t="shared" ca="1" si="18"/>
        <v>1718.9171499999998</v>
      </c>
      <c r="H80" s="1">
        <f t="shared" ca="1" si="18"/>
        <v>374.23928590000003</v>
      </c>
      <c r="I80" s="1">
        <f t="shared" ca="1" si="18"/>
        <v>95.703452999999996</v>
      </c>
      <c r="J80" s="1">
        <f t="shared" ca="1" si="18"/>
        <v>1726.071872</v>
      </c>
      <c r="K80" s="1">
        <f t="shared" ca="1" si="18"/>
        <v>84.653910600000003</v>
      </c>
      <c r="L80" s="1">
        <f t="shared" ca="1" si="18"/>
        <v>22.5930158</v>
      </c>
      <c r="M80" s="1">
        <f t="shared" ca="1" si="18"/>
        <v>181.22066459999996</v>
      </c>
      <c r="N80" s="1">
        <f t="shared" ca="1" si="18"/>
        <v>0</v>
      </c>
      <c r="O80" s="1">
        <f t="shared" ca="1" si="18"/>
        <v>2.2248652999999994</v>
      </c>
      <c r="P80" s="1">
        <f ca="1">SUM(OFFSET($A$73,7,1,1,14))</f>
        <v>20675.740540300001</v>
      </c>
      <c r="Q80" s="2">
        <f ca="1">SUM(OFFSET($A$73,7,1,1,12))</f>
        <v>20673.515675000002</v>
      </c>
    </row>
    <row r="81" spans="1:17" x14ac:dyDescent="0.2">
      <c r="A81" s="1">
        <v>7</v>
      </c>
      <c r="B81" s="1">
        <f t="shared" ca="1" si="18"/>
        <v>118.42489180000001</v>
      </c>
      <c r="C81" s="1">
        <f t="shared" ca="1" si="18"/>
        <v>260.34288579999998</v>
      </c>
      <c r="D81" s="1">
        <f t="shared" ca="1" si="18"/>
        <v>8170.0790007999985</v>
      </c>
      <c r="E81" s="1">
        <f t="shared" ca="1" si="18"/>
        <v>9855.141450000001</v>
      </c>
      <c r="F81" s="1">
        <f t="shared" ca="1" si="18"/>
        <v>3048.5919400000002</v>
      </c>
      <c r="G81" s="1">
        <f t="shared" ca="1" si="18"/>
        <v>316.28029009999995</v>
      </c>
      <c r="H81" s="1">
        <f t="shared" ca="1" si="18"/>
        <v>2935.0635899999997</v>
      </c>
      <c r="I81" s="1">
        <f t="shared" ca="1" si="18"/>
        <v>330.01949600000006</v>
      </c>
      <c r="J81" s="1">
        <f t="shared" ca="1" si="18"/>
        <v>1126.9361749999998</v>
      </c>
      <c r="K81" s="1">
        <f t="shared" ca="1" si="18"/>
        <v>221.55598739999999</v>
      </c>
      <c r="L81" s="1">
        <f t="shared" ca="1" si="18"/>
        <v>35.015399899999998</v>
      </c>
      <c r="M81" s="1">
        <f t="shared" ca="1" si="18"/>
        <v>84.489360000000019</v>
      </c>
      <c r="N81" s="1">
        <f t="shared" ca="1" si="18"/>
        <v>0</v>
      </c>
      <c r="O81" s="1">
        <f t="shared" ca="1" si="18"/>
        <v>0</v>
      </c>
      <c r="P81" s="1">
        <f ca="1">SUM(OFFSET($A$73,8,1,1,14))</f>
        <v>26501.940466799995</v>
      </c>
      <c r="Q81" s="2">
        <f ca="1">SUM(OFFSET($A$73,8,1,1,12))</f>
        <v>26501.940466799995</v>
      </c>
    </row>
    <row r="82" spans="1:17" x14ac:dyDescent="0.2">
      <c r="A82" s="1">
        <v>8</v>
      </c>
      <c r="B82" s="1">
        <f t="shared" ca="1" si="18"/>
        <v>8.0293925999999995</v>
      </c>
      <c r="C82" s="1">
        <f t="shared" ca="1" si="18"/>
        <v>31.495441700000004</v>
      </c>
      <c r="D82" s="1">
        <f t="shared" ca="1" si="18"/>
        <v>798.00247080000008</v>
      </c>
      <c r="E82" s="1">
        <f t="shared" ca="1" si="18"/>
        <v>1125.7797949999999</v>
      </c>
      <c r="F82" s="1">
        <f t="shared" ca="1" si="18"/>
        <v>625.96885819999989</v>
      </c>
      <c r="G82" s="1">
        <f t="shared" ca="1" si="18"/>
        <v>105.8400408</v>
      </c>
      <c r="H82" s="1">
        <f t="shared" ca="1" si="18"/>
        <v>344.68493549999999</v>
      </c>
      <c r="I82" s="1">
        <f t="shared" ca="1" si="18"/>
        <v>7.5521853999999999</v>
      </c>
      <c r="J82" s="1">
        <f t="shared" ca="1" si="18"/>
        <v>425.91519019999993</v>
      </c>
      <c r="K82" s="1">
        <f t="shared" ca="1" si="18"/>
        <v>28.520064399999992</v>
      </c>
      <c r="L82" s="1">
        <f t="shared" ca="1" si="18"/>
        <v>20.758614999999999</v>
      </c>
      <c r="M82" s="1">
        <f t="shared" ca="1" si="18"/>
        <v>57.242798300000011</v>
      </c>
      <c r="N82" s="1">
        <f t="shared" ca="1" si="18"/>
        <v>0</v>
      </c>
      <c r="O82" s="1">
        <f t="shared" ca="1" si="18"/>
        <v>0.17983270000000001</v>
      </c>
      <c r="P82" s="1">
        <f ca="1">SUM(OFFSET($A$73,9,1,1,14))</f>
        <v>3579.9696205999999</v>
      </c>
      <c r="Q82" s="2">
        <f ca="1">SUM(OFFSET($A$73,9,1,1,12))</f>
        <v>3579.7897878999997</v>
      </c>
    </row>
    <row r="83" spans="1:17" x14ac:dyDescent="0.2">
      <c r="A83" s="1">
        <v>9</v>
      </c>
      <c r="B83" s="1">
        <f t="shared" ca="1" si="18"/>
        <v>72.334234099999975</v>
      </c>
      <c r="C83" s="1">
        <f t="shared" ca="1" si="18"/>
        <v>377.33477130000006</v>
      </c>
      <c r="D83" s="1">
        <f t="shared" ca="1" si="18"/>
        <v>7447.3982021000011</v>
      </c>
      <c r="E83" s="1">
        <f t="shared" ca="1" si="18"/>
        <v>5883.7804879999985</v>
      </c>
      <c r="F83" s="1">
        <f t="shared" ca="1" si="18"/>
        <v>11416.39417</v>
      </c>
      <c r="G83" s="1">
        <f t="shared" ca="1" si="18"/>
        <v>1924.8574449999999</v>
      </c>
      <c r="H83" s="1">
        <f t="shared" ca="1" si="18"/>
        <v>1498.0140480000002</v>
      </c>
      <c r="I83" s="1">
        <f t="shared" ca="1" si="18"/>
        <v>513.23550510000007</v>
      </c>
      <c r="J83" s="1">
        <f t="shared" ca="1" si="18"/>
        <v>6205.2065000000011</v>
      </c>
      <c r="K83" s="1">
        <f t="shared" ca="1" si="18"/>
        <v>145.37875159999999</v>
      </c>
      <c r="L83" s="1">
        <f t="shared" ca="1" si="18"/>
        <v>177.83852149999998</v>
      </c>
      <c r="M83" s="1">
        <f t="shared" ca="1" si="18"/>
        <v>236.48412190000002</v>
      </c>
      <c r="N83" s="1">
        <f t="shared" ca="1" si="18"/>
        <v>0</v>
      </c>
      <c r="O83" s="1">
        <f t="shared" ca="1" si="18"/>
        <v>7.6699942999999999</v>
      </c>
      <c r="P83" s="1">
        <f ca="1">SUM(OFFSET($A$73,10,1,1,14))</f>
        <v>35905.926752900006</v>
      </c>
      <c r="Q83" s="2">
        <f ca="1">SUM(OFFSET($A$73,10,1,1,12))</f>
        <v>35898.256758600008</v>
      </c>
    </row>
    <row r="84" spans="1:17" x14ac:dyDescent="0.2">
      <c r="A84" s="1">
        <v>10</v>
      </c>
      <c r="B84" s="1">
        <f t="shared" ca="1" si="18"/>
        <v>2.3714049000000004</v>
      </c>
      <c r="C84" s="1">
        <f t="shared" ca="1" si="18"/>
        <v>17.9245898</v>
      </c>
      <c r="D84" s="1">
        <f t="shared" ca="1" si="18"/>
        <v>744.28209979999997</v>
      </c>
      <c r="E84" s="1">
        <f t="shared" ca="1" si="18"/>
        <v>547.5493502999999</v>
      </c>
      <c r="F84" s="1">
        <f t="shared" ca="1" si="18"/>
        <v>597.5019003000001</v>
      </c>
      <c r="G84" s="1">
        <f t="shared" ca="1" si="18"/>
        <v>101.2855246</v>
      </c>
      <c r="H84" s="1">
        <f t="shared" ca="1" si="18"/>
        <v>236.73465410000003</v>
      </c>
      <c r="I84" s="1">
        <f t="shared" ca="1" si="18"/>
        <v>49.102036799999993</v>
      </c>
      <c r="J84" s="1">
        <f t="shared" ca="1" si="18"/>
        <v>187.83227400000001</v>
      </c>
      <c r="K84" s="1">
        <f t="shared" ca="1" si="18"/>
        <v>0</v>
      </c>
      <c r="L84" s="1">
        <f t="shared" ca="1" si="18"/>
        <v>3.1969960000000004</v>
      </c>
      <c r="M84" s="1">
        <f t="shared" ca="1" si="18"/>
        <v>0</v>
      </c>
      <c r="N84" s="1">
        <f t="shared" ca="1" si="18"/>
        <v>0</v>
      </c>
      <c r="O84" s="1">
        <f t="shared" ca="1" si="18"/>
        <v>0</v>
      </c>
      <c r="P84" s="1">
        <f ca="1">SUM(OFFSET($A$73,11,1,1,14))</f>
        <v>2487.7808306000002</v>
      </c>
      <c r="Q84" s="2">
        <f ca="1">SUM(OFFSET($A$73,11,1,1,12))</f>
        <v>2487.7808306000002</v>
      </c>
    </row>
    <row r="85" spans="1:17" x14ac:dyDescent="0.2">
      <c r="A85" s="1">
        <v>11</v>
      </c>
      <c r="B85" s="1">
        <f t="shared" ca="1" si="18"/>
        <v>10.1688034</v>
      </c>
      <c r="C85" s="1">
        <f t="shared" ca="1" si="18"/>
        <v>59.391091200000005</v>
      </c>
      <c r="D85" s="1">
        <f t="shared" ca="1" si="18"/>
        <v>763.66479199999992</v>
      </c>
      <c r="E85" s="1">
        <f t="shared" ca="1" si="18"/>
        <v>332.07378540000008</v>
      </c>
      <c r="F85" s="1">
        <f t="shared" ca="1" si="18"/>
        <v>802.32697009999981</v>
      </c>
      <c r="G85" s="1">
        <f t="shared" ca="1" si="18"/>
        <v>1239.473487</v>
      </c>
      <c r="H85" s="1">
        <f t="shared" ca="1" si="18"/>
        <v>46.993920399999993</v>
      </c>
      <c r="I85" s="1">
        <f t="shared" ca="1" si="18"/>
        <v>13.365251300000001</v>
      </c>
      <c r="J85" s="1">
        <f t="shared" ca="1" si="18"/>
        <v>193.24317429999999</v>
      </c>
      <c r="K85" s="1">
        <f t="shared" ca="1" si="18"/>
        <v>8.6288570999999994</v>
      </c>
      <c r="L85" s="1">
        <f t="shared" ca="1" si="18"/>
        <v>126.312399</v>
      </c>
      <c r="M85" s="1">
        <f t="shared" ca="1" si="18"/>
        <v>8.9277277999999995</v>
      </c>
      <c r="N85" s="1">
        <f t="shared" ca="1" si="18"/>
        <v>0</v>
      </c>
      <c r="O85" s="1">
        <f t="shared" ca="1" si="18"/>
        <v>0</v>
      </c>
      <c r="P85" s="1">
        <f ca="1">SUM(OFFSET($A$73,12,1,1,14))</f>
        <v>3604.5702590000001</v>
      </c>
      <c r="Q85" s="2">
        <f ca="1">SUM(OFFSET($A$73,12,1,1,12))</f>
        <v>3604.5702590000001</v>
      </c>
    </row>
    <row r="86" spans="1:17" x14ac:dyDescent="0.2">
      <c r="A86" s="1">
        <v>12</v>
      </c>
      <c r="B86" s="1">
        <f t="shared" ca="1" si="18"/>
        <v>3.4031334000000002</v>
      </c>
      <c r="C86" s="1">
        <f t="shared" ca="1" si="18"/>
        <v>24.608306200000001</v>
      </c>
      <c r="D86" s="1">
        <f t="shared" ca="1" si="18"/>
        <v>454.19253299999997</v>
      </c>
      <c r="E86" s="1">
        <f t="shared" ca="1" si="18"/>
        <v>337.17124520000004</v>
      </c>
      <c r="F86" s="1">
        <f t="shared" ca="1" si="18"/>
        <v>738.48464479999996</v>
      </c>
      <c r="G86" s="1">
        <f t="shared" ca="1" si="18"/>
        <v>250.3584974</v>
      </c>
      <c r="H86" s="1">
        <f t="shared" ca="1" si="18"/>
        <v>88.785382900000016</v>
      </c>
      <c r="I86" s="1">
        <f t="shared" ca="1" si="18"/>
        <v>51.527699800000008</v>
      </c>
      <c r="J86" s="1">
        <f t="shared" ca="1" si="18"/>
        <v>225.7291333</v>
      </c>
      <c r="K86" s="1">
        <f t="shared" ca="1" si="18"/>
        <v>0</v>
      </c>
      <c r="L86" s="1">
        <f t="shared" ca="1" si="18"/>
        <v>0.35447220000000002</v>
      </c>
      <c r="M86" s="1">
        <f t="shared" ca="1" si="18"/>
        <v>0</v>
      </c>
      <c r="N86" s="1">
        <f t="shared" ca="1" si="18"/>
        <v>0</v>
      </c>
      <c r="O86" s="1">
        <f t="shared" ca="1" si="18"/>
        <v>0</v>
      </c>
      <c r="P86" s="1">
        <f ca="1">SUM(OFFSET($A$73,13,1,1,14))</f>
        <v>2174.6150481999998</v>
      </c>
      <c r="Q86" s="2">
        <f ca="1">SUM(OFFSET($A$73,13,1,1,12))</f>
        <v>2174.6150481999998</v>
      </c>
    </row>
    <row r="87" spans="1:17" x14ac:dyDescent="0.2">
      <c r="A87" s="1">
        <v>13</v>
      </c>
      <c r="B87" s="1">
        <f t="shared" ca="1" si="18"/>
        <v>0.70437209999999995</v>
      </c>
      <c r="C87" s="1">
        <f t="shared" ca="1" si="18"/>
        <v>1.9572960000000001</v>
      </c>
      <c r="D87" s="1">
        <f t="shared" ca="1" si="18"/>
        <v>60.045826900000002</v>
      </c>
      <c r="E87" s="1">
        <f t="shared" ca="1" si="18"/>
        <v>16.766404800000004</v>
      </c>
      <c r="F87" s="1">
        <f t="shared" ca="1" si="18"/>
        <v>38.346384399999991</v>
      </c>
      <c r="G87" s="1">
        <f t="shared" ca="1" si="18"/>
        <v>81.196964600000001</v>
      </c>
      <c r="H87" s="1">
        <f t="shared" ca="1" si="18"/>
        <v>3.0504296000000002</v>
      </c>
      <c r="I87" s="1">
        <f t="shared" ca="1" si="18"/>
        <v>0.94441869999999994</v>
      </c>
      <c r="J87" s="1">
        <f t="shared" ca="1" si="18"/>
        <v>23.651683600000002</v>
      </c>
      <c r="K87" s="1">
        <f t="shared" ca="1" si="18"/>
        <v>0</v>
      </c>
      <c r="L87" s="1">
        <f t="shared" ca="1" si="18"/>
        <v>111.6756263</v>
      </c>
      <c r="M87" s="1">
        <f t="shared" ca="1" si="18"/>
        <v>28.080280800000004</v>
      </c>
      <c r="N87" s="1">
        <f t="shared" ca="1" si="18"/>
        <v>0</v>
      </c>
      <c r="O87" s="1">
        <f t="shared" ca="1" si="18"/>
        <v>0</v>
      </c>
      <c r="P87" s="1">
        <f ca="1">SUM(OFFSET($A$73,14,1,1,14))</f>
        <v>366.41968780000008</v>
      </c>
      <c r="Q87" s="2">
        <f ca="1">SUM(OFFSET($A$73,14,1,1,12))</f>
        <v>366.41968780000008</v>
      </c>
    </row>
    <row r="88" spans="1:17" x14ac:dyDescent="0.2">
      <c r="A88" s="1">
        <v>14</v>
      </c>
      <c r="B88" s="1">
        <f t="shared" ca="1" si="18"/>
        <v>1.6102000000000002E-2</v>
      </c>
      <c r="C88" s="1">
        <f t="shared" ca="1" si="18"/>
        <v>0.60904010000000008</v>
      </c>
      <c r="D88" s="1">
        <f t="shared" ca="1" si="18"/>
        <v>70.344241800000006</v>
      </c>
      <c r="E88" s="1">
        <f t="shared" ca="1" si="18"/>
        <v>14.6638377</v>
      </c>
      <c r="F88" s="1">
        <f t="shared" ca="1" si="18"/>
        <v>29.780229900000002</v>
      </c>
      <c r="G88" s="1">
        <f t="shared" ca="1" si="18"/>
        <v>55.891858799999987</v>
      </c>
      <c r="H88" s="1">
        <f t="shared" ca="1" si="18"/>
        <v>0.34640379999999998</v>
      </c>
      <c r="I88" s="1">
        <f t="shared" ca="1" si="18"/>
        <v>0</v>
      </c>
      <c r="J88" s="1">
        <f t="shared" ca="1" si="18"/>
        <v>15.4116214</v>
      </c>
      <c r="K88" s="1">
        <f t="shared" ca="1" si="18"/>
        <v>0</v>
      </c>
      <c r="L88" s="1">
        <f t="shared" ca="1" si="18"/>
        <v>77.024366399999991</v>
      </c>
      <c r="M88" s="1">
        <f t="shared" ca="1" si="18"/>
        <v>50.145983100000009</v>
      </c>
      <c r="N88" s="1">
        <f t="shared" ca="1" si="18"/>
        <v>0</v>
      </c>
      <c r="O88" s="1">
        <f t="shared" ca="1" si="18"/>
        <v>0</v>
      </c>
      <c r="P88" s="1">
        <f ca="1">SUM(OFFSET($A$73,15,1,1,14))</f>
        <v>314.23368499999998</v>
      </c>
      <c r="Q88" s="2">
        <f ca="1">SUM(OFFSET($A$73,15,1,1,12))</f>
        <v>314.23368499999998</v>
      </c>
    </row>
    <row r="89" spans="1:17" x14ac:dyDescent="0.2">
      <c r="A89" s="1" t="s">
        <v>43</v>
      </c>
      <c r="B89" s="1">
        <f ca="1">SUM(OFFSET($A$73,2,1,14,1))</f>
        <v>2741.9772973999998</v>
      </c>
      <c r="C89" s="1">
        <f ca="1">SUM(OFFSET($A$73,2,2,14,1))</f>
        <v>11087.821408100002</v>
      </c>
      <c r="D89" s="1">
        <f ca="1">SUM(OFFSET($A$73,2,3,14,1))</f>
        <v>94630.76813029997</v>
      </c>
      <c r="E89" s="1">
        <f ca="1">SUM(OFFSET($A$73,2,4,14,1))</f>
        <v>99285.73190140001</v>
      </c>
      <c r="F89" s="1">
        <f ca="1">SUM(OFFSET($A$73,2,5,14,1))</f>
        <v>89041.648860900008</v>
      </c>
      <c r="G89" s="1">
        <f ca="1">SUM(OFFSET($A$73,2,6,14,1))</f>
        <v>20064.622243900001</v>
      </c>
      <c r="H89" s="1">
        <f ca="1">SUM(OFFSET($A$73,2,7,14,1))</f>
        <v>27138.419264200002</v>
      </c>
      <c r="I89" s="1">
        <f ca="1">SUM(OFFSET($A$73,2,8,14,1))</f>
        <v>3311.9463489999998</v>
      </c>
      <c r="J89" s="1">
        <f ca="1">SUM(OFFSET($A$73,2,9,14,1))</f>
        <v>31809.004816100001</v>
      </c>
      <c r="K89" s="1">
        <f ca="1">SUM(OFFSET($A$73,2,10,14,1))</f>
        <v>2038.2857992000002</v>
      </c>
      <c r="L89" s="1">
        <f ca="1">SUM(OFFSET($A$73,2,11,14,1))</f>
        <v>2271.9001851000003</v>
      </c>
      <c r="M89" s="1">
        <f ca="1">SUM(OFFSET($A$73,2,12,14,1))</f>
        <v>2026.1817490999999</v>
      </c>
      <c r="N89" s="1">
        <f ca="1">SUM(OFFSET($A$73,2,13,14,1))</f>
        <v>0</v>
      </c>
      <c r="O89" s="1">
        <f ca="1">SUM(OFFSET($A$73,2,14,14,1))</f>
        <v>30.791860599999993</v>
      </c>
      <c r="P89" s="1">
        <f ca="1">SUM(OFFSET($A$73,16,1,1,14))</f>
        <v>385479.0998653</v>
      </c>
      <c r="Q89" s="2">
        <f ca="1">SUM(OFFSET($A$73,16,1,1,12))</f>
        <v>385448.3080047</v>
      </c>
    </row>
    <row r="90" spans="1:17" x14ac:dyDescent="0.2">
      <c r="O90" s="11" t="s">
        <v>59</v>
      </c>
      <c r="P90" s="1">
        <f ca="1">SUM(B75:M86)</f>
        <v>384767.65463189979</v>
      </c>
    </row>
    <row r="91" spans="1:17" x14ac:dyDescent="0.2">
      <c r="A91" s="1" t="s">
        <v>49</v>
      </c>
    </row>
    <row r="92" spans="1:17" x14ac:dyDescent="0.2">
      <c r="B92" s="1">
        <v>1</v>
      </c>
      <c r="C92" s="1">
        <v>2</v>
      </c>
      <c r="D92" s="1">
        <v>3</v>
      </c>
      <c r="E92" s="1">
        <v>4</v>
      </c>
      <c r="F92" s="1">
        <v>5</v>
      </c>
      <c r="G92" s="1">
        <v>6</v>
      </c>
      <c r="H92" s="1">
        <v>7</v>
      </c>
      <c r="I92" s="1">
        <v>8</v>
      </c>
      <c r="J92" s="1">
        <v>9</v>
      </c>
      <c r="K92" s="1">
        <v>10</v>
      </c>
      <c r="L92" s="1">
        <v>11</v>
      </c>
      <c r="M92" s="1">
        <v>12</v>
      </c>
      <c r="N92" s="1">
        <v>13</v>
      </c>
      <c r="O92" s="1">
        <v>14</v>
      </c>
      <c r="P92" s="1" t="s">
        <v>43</v>
      </c>
      <c r="Q92" s="2" t="s">
        <v>61</v>
      </c>
    </row>
    <row r="93" spans="1:17" x14ac:dyDescent="0.2">
      <c r="A93" s="1">
        <v>1</v>
      </c>
      <c r="B93" s="1">
        <f t="shared" ref="B93:O106" ca="1" si="19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12239.584820000002</v>
      </c>
      <c r="C93" s="1">
        <f t="shared" ca="1" si="19"/>
        <v>457.68430500000005</v>
      </c>
      <c r="D93" s="1">
        <f t="shared" ca="1" si="19"/>
        <v>66.719251099999994</v>
      </c>
      <c r="E93" s="1">
        <f t="shared" ca="1" si="19"/>
        <v>1.2038222000000001</v>
      </c>
      <c r="F93" s="1">
        <f t="shared" ca="1" si="19"/>
        <v>5.2018999999999998E-3</v>
      </c>
      <c r="G93" s="1">
        <f t="shared" ca="1" si="19"/>
        <v>0</v>
      </c>
      <c r="H93" s="1">
        <f t="shared" ca="1" si="19"/>
        <v>0</v>
      </c>
      <c r="I93" s="1">
        <f t="shared" ca="1" si="19"/>
        <v>0</v>
      </c>
      <c r="J93" s="1">
        <f t="shared" ca="1" si="19"/>
        <v>0</v>
      </c>
      <c r="K93" s="1">
        <f t="shared" ca="1" si="19"/>
        <v>0</v>
      </c>
      <c r="L93" s="1">
        <f t="shared" ca="1" si="19"/>
        <v>0</v>
      </c>
      <c r="M93" s="1">
        <f t="shared" ca="1" si="19"/>
        <v>0</v>
      </c>
      <c r="N93" s="1">
        <f t="shared" ca="1" si="19"/>
        <v>0</v>
      </c>
      <c r="O93" s="1">
        <f t="shared" ca="1" si="19"/>
        <v>0</v>
      </c>
      <c r="P93" s="1">
        <f ca="1">SUM(OFFSET($A$91,2,1,1,14))</f>
        <v>12765.197400200001</v>
      </c>
      <c r="Q93" s="2">
        <f ca="1">SUM(OFFSET($A$91,2,1,1,12))</f>
        <v>12765.197400200001</v>
      </c>
    </row>
    <row r="94" spans="1:17" x14ac:dyDescent="0.2">
      <c r="A94" s="1">
        <v>2</v>
      </c>
      <c r="B94" s="1">
        <f t="shared" ca="1" si="19"/>
        <v>549.56290999999999</v>
      </c>
      <c r="C94" s="1">
        <f t="shared" ca="1" si="19"/>
        <v>33727.463899999995</v>
      </c>
      <c r="D94" s="1">
        <f t="shared" ca="1" si="19"/>
        <v>42.908428300000004</v>
      </c>
      <c r="E94" s="1">
        <f t="shared" ca="1" si="19"/>
        <v>60.649056099999996</v>
      </c>
      <c r="F94" s="1">
        <f t="shared" ca="1" si="19"/>
        <v>25.198791100000001</v>
      </c>
      <c r="G94" s="1">
        <f t="shared" ca="1" si="19"/>
        <v>2.0340000000000001E-4</v>
      </c>
      <c r="H94" s="1">
        <f t="shared" ca="1" si="19"/>
        <v>7.4999999999999993E-6</v>
      </c>
      <c r="I94" s="1">
        <f t="shared" ca="1" si="19"/>
        <v>0</v>
      </c>
      <c r="J94" s="1">
        <f t="shared" ca="1" si="19"/>
        <v>0</v>
      </c>
      <c r="K94" s="1">
        <f t="shared" ca="1" si="19"/>
        <v>0</v>
      </c>
      <c r="L94" s="1">
        <f t="shared" ca="1" si="19"/>
        <v>0</v>
      </c>
      <c r="M94" s="1">
        <f t="shared" ca="1" si="19"/>
        <v>0</v>
      </c>
      <c r="N94" s="1">
        <f t="shared" ca="1" si="19"/>
        <v>0</v>
      </c>
      <c r="O94" s="1">
        <f t="shared" ca="1" si="19"/>
        <v>0</v>
      </c>
      <c r="P94" s="1">
        <f ca="1">SUM(OFFSET($A$91,3,1,1,14))</f>
        <v>34405.783296399997</v>
      </c>
      <c r="Q94" s="2">
        <f ca="1">SUM(OFFSET($A$91,3,1,1,12))</f>
        <v>34405.783296399997</v>
      </c>
    </row>
    <row r="95" spans="1:17" x14ac:dyDescent="0.2">
      <c r="A95" s="1">
        <v>3</v>
      </c>
      <c r="B95" s="1">
        <f t="shared" ca="1" si="19"/>
        <v>75.098790999999991</v>
      </c>
      <c r="C95" s="1">
        <f t="shared" ca="1" si="19"/>
        <v>42.936474400000002</v>
      </c>
      <c r="D95" s="1">
        <f t="shared" ca="1" si="19"/>
        <v>100061.0597</v>
      </c>
      <c r="E95" s="1">
        <f t="shared" ca="1" si="19"/>
        <v>7430.5950000000012</v>
      </c>
      <c r="F95" s="1">
        <f t="shared" ca="1" si="19"/>
        <v>21.670151400000002</v>
      </c>
      <c r="G95" s="1">
        <f t="shared" ca="1" si="19"/>
        <v>0</v>
      </c>
      <c r="H95" s="1">
        <f t="shared" ca="1" si="19"/>
        <v>1.1432106</v>
      </c>
      <c r="I95" s="1">
        <f t="shared" ca="1" si="19"/>
        <v>0</v>
      </c>
      <c r="J95" s="1">
        <f t="shared" ca="1" si="19"/>
        <v>0</v>
      </c>
      <c r="K95" s="1">
        <f t="shared" ca="1" si="19"/>
        <v>0</v>
      </c>
      <c r="L95" s="1">
        <f t="shared" ca="1" si="19"/>
        <v>0</v>
      </c>
      <c r="M95" s="1">
        <f t="shared" ca="1" si="19"/>
        <v>0</v>
      </c>
      <c r="N95" s="1">
        <f t="shared" ca="1" si="19"/>
        <v>0</v>
      </c>
      <c r="O95" s="1">
        <f t="shared" ca="1" si="19"/>
        <v>0</v>
      </c>
      <c r="P95" s="1">
        <f ca="1">SUM(OFFSET($A$91,4,1,1,14))</f>
        <v>107632.5033274</v>
      </c>
      <c r="Q95" s="2">
        <f ca="1">SUM(OFFSET($A$91,4,1,1,12))</f>
        <v>107632.5033274</v>
      </c>
    </row>
    <row r="96" spans="1:17" x14ac:dyDescent="0.2">
      <c r="A96" s="1">
        <v>4</v>
      </c>
      <c r="B96" s="1">
        <f t="shared" ca="1" si="19"/>
        <v>1.4599880999999999</v>
      </c>
      <c r="C96" s="1">
        <f t="shared" ca="1" si="19"/>
        <v>69.949673300000001</v>
      </c>
      <c r="D96" s="1">
        <f t="shared" ca="1" si="19"/>
        <v>9009.7607399999979</v>
      </c>
      <c r="E96" s="1">
        <f t="shared" ca="1" si="19"/>
        <v>147257.76099999997</v>
      </c>
      <c r="F96" s="1">
        <f t="shared" ca="1" si="19"/>
        <v>2351.6564100000001</v>
      </c>
      <c r="G96" s="1">
        <f t="shared" ca="1" si="19"/>
        <v>7.5718000000000008E-2</v>
      </c>
      <c r="H96" s="1">
        <f t="shared" ca="1" si="19"/>
        <v>316.89381400000002</v>
      </c>
      <c r="I96" s="1">
        <f t="shared" ca="1" si="19"/>
        <v>1.8287400000000002E-2</v>
      </c>
      <c r="J96" s="1">
        <f t="shared" ca="1" si="19"/>
        <v>5.1028999999999996E-3</v>
      </c>
      <c r="K96" s="1">
        <f t="shared" ca="1" si="19"/>
        <v>0</v>
      </c>
      <c r="L96" s="1">
        <f t="shared" ca="1" si="19"/>
        <v>0</v>
      </c>
      <c r="M96" s="1">
        <f t="shared" ca="1" si="19"/>
        <v>0</v>
      </c>
      <c r="N96" s="1">
        <f t="shared" ca="1" si="19"/>
        <v>0</v>
      </c>
      <c r="O96" s="1">
        <f t="shared" ca="1" si="19"/>
        <v>0</v>
      </c>
      <c r="P96" s="1">
        <f ca="1">SUM(OFFSET($A$91,5,1,1,14))</f>
        <v>159007.58073369996</v>
      </c>
      <c r="Q96" s="2">
        <f ca="1">SUM(OFFSET($A$91,5,1,1,12))</f>
        <v>159007.58073369996</v>
      </c>
    </row>
    <row r="97" spans="1:21" x14ac:dyDescent="0.2">
      <c r="A97" s="1">
        <v>5</v>
      </c>
      <c r="B97" s="1">
        <f t="shared" ca="1" si="19"/>
        <v>5.4342999999999995E-3</v>
      </c>
      <c r="C97" s="1">
        <f t="shared" ca="1" si="19"/>
        <v>31.094347000000003</v>
      </c>
      <c r="D97" s="1">
        <f t="shared" ca="1" si="19"/>
        <v>31.621082999999999</v>
      </c>
      <c r="E97" s="1">
        <f t="shared" ca="1" si="19"/>
        <v>2002.60265</v>
      </c>
      <c r="F97" s="1">
        <f t="shared" ca="1" si="19"/>
        <v>57232.501000000004</v>
      </c>
      <c r="G97" s="1">
        <f t="shared" ca="1" si="19"/>
        <v>1050.2206000000001</v>
      </c>
      <c r="H97" s="1">
        <f t="shared" ca="1" si="19"/>
        <v>207.07274299999995</v>
      </c>
      <c r="I97" s="1">
        <f t="shared" ca="1" si="19"/>
        <v>19.425912499999995</v>
      </c>
      <c r="J97" s="1">
        <f t="shared" ca="1" si="19"/>
        <v>93.709996000000004</v>
      </c>
      <c r="K97" s="1">
        <f t="shared" ca="1" si="19"/>
        <v>0</v>
      </c>
      <c r="L97" s="1">
        <f t="shared" ca="1" si="19"/>
        <v>9.5099999999999994E-5</v>
      </c>
      <c r="M97" s="1">
        <f t="shared" ca="1" si="19"/>
        <v>0</v>
      </c>
      <c r="N97" s="1">
        <f t="shared" ca="1" si="19"/>
        <v>0</v>
      </c>
      <c r="O97" s="1">
        <f t="shared" ca="1" si="19"/>
        <v>0</v>
      </c>
      <c r="P97" s="1">
        <f ca="1">SUM(OFFSET($A$91,6,1,1,14))</f>
        <v>60668.253860899997</v>
      </c>
      <c r="Q97" s="2">
        <f ca="1">SUM(OFFSET($A$91,6,1,1,12))</f>
        <v>60668.253860899997</v>
      </c>
    </row>
    <row r="98" spans="1:21" x14ac:dyDescent="0.2">
      <c r="A98" s="1">
        <v>6</v>
      </c>
      <c r="B98" s="1">
        <f t="shared" ca="1" si="19"/>
        <v>0</v>
      </c>
      <c r="C98" s="1">
        <f t="shared" ca="1" si="19"/>
        <v>2.922E-4</v>
      </c>
      <c r="D98" s="1">
        <f t="shared" ca="1" si="19"/>
        <v>0</v>
      </c>
      <c r="E98" s="1">
        <f t="shared" ca="1" si="19"/>
        <v>8.7825999999999987E-2</v>
      </c>
      <c r="F98" s="1">
        <f t="shared" ca="1" si="19"/>
        <v>1074.47327</v>
      </c>
      <c r="G98" s="1">
        <f t="shared" ca="1" si="19"/>
        <v>37592.913499999995</v>
      </c>
      <c r="H98" s="1">
        <f t="shared" ca="1" si="19"/>
        <v>7.6871999999999999E-3</v>
      </c>
      <c r="I98" s="1">
        <f t="shared" ca="1" si="19"/>
        <v>5.2487999999999996E-3</v>
      </c>
      <c r="J98" s="1">
        <f t="shared" ca="1" si="19"/>
        <v>2.6817926999999995</v>
      </c>
      <c r="K98" s="1">
        <f t="shared" ca="1" si="19"/>
        <v>0</v>
      </c>
      <c r="L98" s="1">
        <f t="shared" ca="1" si="19"/>
        <v>8.9781447000000014</v>
      </c>
      <c r="M98" s="1">
        <f t="shared" ca="1" si="19"/>
        <v>1.25054E-2</v>
      </c>
      <c r="N98" s="1">
        <f t="shared" ca="1" si="19"/>
        <v>0</v>
      </c>
      <c r="O98" s="1">
        <f t="shared" ca="1" si="19"/>
        <v>0</v>
      </c>
      <c r="P98" s="1">
        <f ca="1">SUM(OFFSET($A$91,7,1,1,14))</f>
        <v>38679.160266999999</v>
      </c>
      <c r="Q98" s="2">
        <f ca="1">SUM(OFFSET($A$91,7,1,1,12))</f>
        <v>38679.160266999999</v>
      </c>
    </row>
    <row r="99" spans="1:21" x14ac:dyDescent="0.2">
      <c r="A99" s="1">
        <v>7</v>
      </c>
      <c r="B99" s="1">
        <f t="shared" ca="1" si="19"/>
        <v>0</v>
      </c>
      <c r="C99" s="1">
        <f t="shared" ca="1" si="19"/>
        <v>1.1000000000000001E-6</v>
      </c>
      <c r="D99" s="1">
        <f t="shared" ca="1" si="19"/>
        <v>0.88555600000000001</v>
      </c>
      <c r="E99" s="1">
        <f t="shared" ca="1" si="19"/>
        <v>204.128052</v>
      </c>
      <c r="F99" s="1">
        <f t="shared" ca="1" si="19"/>
        <v>246.19394199999999</v>
      </c>
      <c r="G99" s="1">
        <f t="shared" ca="1" si="19"/>
        <v>5.5706000000000002E-3</v>
      </c>
      <c r="H99" s="1">
        <f t="shared" ca="1" si="19"/>
        <v>34305.204600000005</v>
      </c>
      <c r="I99" s="1">
        <f t="shared" ca="1" si="19"/>
        <v>4.5078062999999995</v>
      </c>
      <c r="J99" s="1">
        <f t="shared" ca="1" si="19"/>
        <v>0.28621870000000005</v>
      </c>
      <c r="K99" s="1">
        <f t="shared" ca="1" si="19"/>
        <v>0</v>
      </c>
      <c r="L99" s="1">
        <f t="shared" ca="1" si="19"/>
        <v>0</v>
      </c>
      <c r="M99" s="1">
        <f t="shared" ca="1" si="19"/>
        <v>0</v>
      </c>
      <c r="N99" s="1">
        <f t="shared" ca="1" si="19"/>
        <v>0</v>
      </c>
      <c r="O99" s="1">
        <f t="shared" ca="1" si="19"/>
        <v>0</v>
      </c>
      <c r="P99" s="1">
        <f ca="1">SUM(OFFSET($A$91,8,1,1,14))</f>
        <v>34761.211746699999</v>
      </c>
      <c r="Q99" s="2">
        <f ca="1">SUM(OFFSET($A$91,8,1,1,12))</f>
        <v>34761.211746699999</v>
      </c>
    </row>
    <row r="100" spans="1:21" x14ac:dyDescent="0.2">
      <c r="A100" s="1">
        <v>8</v>
      </c>
      <c r="B100" s="1">
        <f t="shared" ca="1" si="19"/>
        <v>0</v>
      </c>
      <c r="C100" s="1">
        <f t="shared" ca="1" si="19"/>
        <v>0</v>
      </c>
      <c r="D100" s="1">
        <f t="shared" ca="1" si="19"/>
        <v>0</v>
      </c>
      <c r="E100" s="1">
        <f t="shared" ca="1" si="19"/>
        <v>1.5325200000000001E-2</v>
      </c>
      <c r="F100" s="1">
        <f t="shared" ca="1" si="19"/>
        <v>14.626709200000001</v>
      </c>
      <c r="G100" s="1">
        <f t="shared" ca="1" si="19"/>
        <v>2.6386999999999999E-3</v>
      </c>
      <c r="H100" s="1">
        <f t="shared" ca="1" si="19"/>
        <v>2.7632987</v>
      </c>
      <c r="I100" s="1">
        <f t="shared" ca="1" si="19"/>
        <v>10788.88039</v>
      </c>
      <c r="J100" s="1">
        <f t="shared" ca="1" si="19"/>
        <v>25.671341900000002</v>
      </c>
      <c r="K100" s="1">
        <f t="shared" ca="1" si="19"/>
        <v>5.7811E-3</v>
      </c>
      <c r="L100" s="1">
        <f t="shared" ca="1" si="19"/>
        <v>0</v>
      </c>
      <c r="M100" s="1">
        <f t="shared" ca="1" si="19"/>
        <v>0</v>
      </c>
      <c r="N100" s="1">
        <f t="shared" ca="1" si="19"/>
        <v>0</v>
      </c>
      <c r="O100" s="1">
        <f t="shared" ca="1" si="19"/>
        <v>0</v>
      </c>
      <c r="P100" s="1">
        <f ca="1">SUM(OFFSET($A$91,9,1,1,14))</f>
        <v>10831.965484800001</v>
      </c>
      <c r="Q100" s="2">
        <f ca="1">SUM(OFFSET($A$91,9,1,1,12))</f>
        <v>10831.965484800001</v>
      </c>
    </row>
    <row r="101" spans="1:21" x14ac:dyDescent="0.2">
      <c r="A101" s="1">
        <v>9</v>
      </c>
      <c r="B101" s="1">
        <f t="shared" ca="1" si="19"/>
        <v>0</v>
      </c>
      <c r="C101" s="1">
        <f t="shared" ca="1" si="19"/>
        <v>0</v>
      </c>
      <c r="D101" s="1">
        <f t="shared" ca="1" si="19"/>
        <v>0</v>
      </c>
      <c r="E101" s="1">
        <f t="shared" ca="1" si="19"/>
        <v>1.5384000000000001E-3</v>
      </c>
      <c r="F101" s="1">
        <f t="shared" ca="1" si="19"/>
        <v>58.940599400000011</v>
      </c>
      <c r="G101" s="1">
        <f t="shared" ca="1" si="19"/>
        <v>2.6661206999999996</v>
      </c>
      <c r="H101" s="1">
        <f t="shared" ca="1" si="19"/>
        <v>1.4600574000000002</v>
      </c>
      <c r="I101" s="1">
        <f t="shared" ca="1" si="19"/>
        <v>32.646248199999995</v>
      </c>
      <c r="J101" s="1">
        <f t="shared" ca="1" si="19"/>
        <v>78757.646999999997</v>
      </c>
      <c r="K101" s="1">
        <f t="shared" ca="1" si="19"/>
        <v>83.117438000000007</v>
      </c>
      <c r="L101" s="1">
        <f t="shared" ca="1" si="19"/>
        <v>0.58352009999999999</v>
      </c>
      <c r="M101" s="1">
        <f t="shared" ca="1" si="19"/>
        <v>875.57253999999978</v>
      </c>
      <c r="N101" s="1">
        <f t="shared" ca="1" si="19"/>
        <v>0</v>
      </c>
      <c r="O101" s="1">
        <f t="shared" ca="1" si="19"/>
        <v>0</v>
      </c>
      <c r="P101" s="1">
        <f ca="1">SUM(OFFSET($A$91,10,1,1,14))</f>
        <v>79812.635062199988</v>
      </c>
      <c r="Q101" s="2">
        <f ca="1">SUM(OFFSET($A$91,10,1,1,12))</f>
        <v>79812.635062199988</v>
      </c>
    </row>
    <row r="102" spans="1:21" x14ac:dyDescent="0.2">
      <c r="A102" s="1">
        <v>10</v>
      </c>
      <c r="B102" s="1">
        <f t="shared" ca="1" si="19"/>
        <v>0</v>
      </c>
      <c r="C102" s="1">
        <f t="shared" ca="1" si="19"/>
        <v>0</v>
      </c>
      <c r="D102" s="1">
        <f t="shared" ca="1" si="19"/>
        <v>0</v>
      </c>
      <c r="E102" s="1">
        <f t="shared" ca="1" si="19"/>
        <v>0</v>
      </c>
      <c r="F102" s="1">
        <f t="shared" ca="1" si="19"/>
        <v>0</v>
      </c>
      <c r="G102" s="1">
        <f t="shared" ca="1" si="19"/>
        <v>0</v>
      </c>
      <c r="H102" s="1">
        <f t="shared" ca="1" si="19"/>
        <v>0</v>
      </c>
      <c r="I102" s="1">
        <f t="shared" ca="1" si="19"/>
        <v>2.9862000000000001E-3</v>
      </c>
      <c r="J102" s="1">
        <f t="shared" ca="1" si="19"/>
        <v>79.553719999999998</v>
      </c>
      <c r="K102" s="1">
        <f t="shared" ca="1" si="19"/>
        <v>19037.082040000001</v>
      </c>
      <c r="L102" s="1">
        <f t="shared" ca="1" si="19"/>
        <v>0</v>
      </c>
      <c r="M102" s="1">
        <f t="shared" ca="1" si="19"/>
        <v>10.905165500000001</v>
      </c>
      <c r="N102" s="1">
        <f t="shared" ca="1" si="19"/>
        <v>0</v>
      </c>
      <c r="O102" s="1">
        <f t="shared" ca="1" si="19"/>
        <v>0</v>
      </c>
      <c r="P102" s="1">
        <f ca="1">SUM(OFFSET($A$91,11,1,1,14))</f>
        <v>19127.543911700002</v>
      </c>
      <c r="Q102" s="2">
        <f ca="1">SUM(OFFSET($A$91,11,1,1,12))</f>
        <v>19127.543911700002</v>
      </c>
    </row>
    <row r="103" spans="1:21" x14ac:dyDescent="0.2">
      <c r="A103" s="1">
        <v>11</v>
      </c>
      <c r="B103" s="1">
        <f t="shared" ca="1" si="19"/>
        <v>0</v>
      </c>
      <c r="C103" s="1">
        <f t="shared" ca="1" si="19"/>
        <v>0</v>
      </c>
      <c r="D103" s="1">
        <f t="shared" ca="1" si="19"/>
        <v>0</v>
      </c>
      <c r="E103" s="1">
        <f t="shared" ca="1" si="19"/>
        <v>0</v>
      </c>
      <c r="F103" s="1">
        <f t="shared" ca="1" si="19"/>
        <v>4.35E-5</v>
      </c>
      <c r="G103" s="1">
        <f t="shared" ca="1" si="19"/>
        <v>8.7772829000000012</v>
      </c>
      <c r="H103" s="1">
        <f t="shared" ca="1" si="19"/>
        <v>0</v>
      </c>
      <c r="I103" s="1">
        <f t="shared" ca="1" si="19"/>
        <v>0</v>
      </c>
      <c r="J103" s="1">
        <f t="shared" ca="1" si="19"/>
        <v>0.71901510000000013</v>
      </c>
      <c r="K103" s="1">
        <f t="shared" ca="1" si="19"/>
        <v>0</v>
      </c>
      <c r="L103" s="1">
        <f t="shared" ca="1" si="19"/>
        <v>17547.053039999995</v>
      </c>
      <c r="M103" s="1">
        <f t="shared" ca="1" si="19"/>
        <v>2.8078384000000001</v>
      </c>
      <c r="N103" s="1">
        <f t="shared" ca="1" si="19"/>
        <v>3.1432616999999996</v>
      </c>
      <c r="O103" s="1">
        <f t="shared" ca="1" si="19"/>
        <v>0</v>
      </c>
      <c r="P103" s="1">
        <f ca="1">SUM(OFFSET($A$91,12,1,1,14))</f>
        <v>17562.500481599993</v>
      </c>
      <c r="Q103" s="2">
        <f ca="1">SUM(OFFSET($A$91,12,1,1,12))</f>
        <v>17559.357219899994</v>
      </c>
    </row>
    <row r="104" spans="1:21" x14ac:dyDescent="0.2">
      <c r="A104" s="1">
        <v>12</v>
      </c>
      <c r="B104" s="1">
        <f t="shared" ca="1" si="19"/>
        <v>0</v>
      </c>
      <c r="C104" s="1">
        <f t="shared" ca="1" si="19"/>
        <v>0</v>
      </c>
      <c r="D104" s="1">
        <f t="shared" ca="1" si="19"/>
        <v>0</v>
      </c>
      <c r="E104" s="1">
        <f t="shared" ca="1" si="19"/>
        <v>0</v>
      </c>
      <c r="F104" s="1">
        <f t="shared" ca="1" si="19"/>
        <v>0</v>
      </c>
      <c r="G104" s="1">
        <f t="shared" ca="1" si="19"/>
        <v>1.2252299999999999E-2</v>
      </c>
      <c r="H104" s="1">
        <f t="shared" ca="1" si="19"/>
        <v>0</v>
      </c>
      <c r="I104" s="1">
        <f t="shared" ca="1" si="19"/>
        <v>0</v>
      </c>
      <c r="J104" s="1">
        <f t="shared" ca="1" si="19"/>
        <v>789.72045999999989</v>
      </c>
      <c r="K104" s="1">
        <f t="shared" ca="1" si="19"/>
        <v>11.6724123</v>
      </c>
      <c r="L104" s="1">
        <f t="shared" ca="1" si="19"/>
        <v>4.3544587999999997</v>
      </c>
      <c r="M104" s="1">
        <f t="shared" ca="1" si="19"/>
        <v>25159.010600000001</v>
      </c>
      <c r="N104" s="1">
        <f t="shared" ca="1" si="19"/>
        <v>0</v>
      </c>
      <c r="O104" s="1">
        <f t="shared" ca="1" si="19"/>
        <v>14.110581099999999</v>
      </c>
      <c r="P104" s="1">
        <f ca="1">SUM(OFFSET($A$91,13,1,1,14))</f>
        <v>25978.880764500002</v>
      </c>
      <c r="Q104" s="2">
        <f ca="1">SUM(OFFSET($A$91,13,1,1,12))</f>
        <v>25964.7701834</v>
      </c>
    </row>
    <row r="105" spans="1:21" x14ac:dyDescent="0.2">
      <c r="A105" s="1">
        <v>13</v>
      </c>
      <c r="B105" s="1">
        <f t="shared" ca="1" si="19"/>
        <v>0</v>
      </c>
      <c r="C105" s="1">
        <f t="shared" ca="1" si="19"/>
        <v>0</v>
      </c>
      <c r="D105" s="1">
        <f t="shared" ca="1" si="19"/>
        <v>0</v>
      </c>
      <c r="E105" s="1">
        <f t="shared" ca="1" si="19"/>
        <v>0</v>
      </c>
      <c r="F105" s="1">
        <f t="shared" ca="1" si="19"/>
        <v>0</v>
      </c>
      <c r="G105" s="1">
        <f t="shared" ca="1" si="19"/>
        <v>0</v>
      </c>
      <c r="H105" s="1">
        <f t="shared" ca="1" si="19"/>
        <v>0</v>
      </c>
      <c r="I105" s="1">
        <f t="shared" ca="1" si="19"/>
        <v>0</v>
      </c>
      <c r="J105" s="1">
        <f t="shared" ca="1" si="19"/>
        <v>0</v>
      </c>
      <c r="K105" s="1">
        <f t="shared" ca="1" si="19"/>
        <v>0</v>
      </c>
      <c r="L105" s="1">
        <f t="shared" ca="1" si="19"/>
        <v>3.1820884999999999</v>
      </c>
      <c r="M105" s="1">
        <f t="shared" ca="1" si="19"/>
        <v>0</v>
      </c>
      <c r="N105" s="1">
        <f t="shared" ca="1" si="19"/>
        <v>6842.8444499999996</v>
      </c>
      <c r="O105" s="1">
        <f t="shared" ca="1" si="19"/>
        <v>7.000744899999999</v>
      </c>
      <c r="P105" s="1">
        <f ca="1">SUM(OFFSET($A$91,14,1,1,14))</f>
        <v>6853.0272833999998</v>
      </c>
      <c r="Q105" s="2">
        <f ca="1">SUM(OFFSET($A$91,14,1,1,12))</f>
        <v>3.1820884999999999</v>
      </c>
    </row>
    <row r="106" spans="1:21" x14ac:dyDescent="0.2">
      <c r="A106" s="1">
        <v>14</v>
      </c>
      <c r="B106" s="1">
        <f t="shared" ca="1" si="19"/>
        <v>0</v>
      </c>
      <c r="C106" s="1">
        <f t="shared" ca="1" si="19"/>
        <v>0</v>
      </c>
      <c r="D106" s="1">
        <f t="shared" ca="1" si="19"/>
        <v>0</v>
      </c>
      <c r="E106" s="1">
        <f t="shared" ca="1" si="19"/>
        <v>0</v>
      </c>
      <c r="F106" s="1">
        <f t="shared" ca="1" si="19"/>
        <v>0</v>
      </c>
      <c r="G106" s="1">
        <f t="shared" ca="1" si="19"/>
        <v>0</v>
      </c>
      <c r="H106" s="1">
        <f t="shared" ca="1" si="19"/>
        <v>0</v>
      </c>
      <c r="I106" s="1">
        <f t="shared" ca="1" si="19"/>
        <v>0</v>
      </c>
      <c r="J106" s="1">
        <f t="shared" ca="1" si="19"/>
        <v>0</v>
      </c>
      <c r="K106" s="1">
        <f t="shared" ca="1" si="19"/>
        <v>0</v>
      </c>
      <c r="L106" s="1">
        <f t="shared" ca="1" si="19"/>
        <v>0</v>
      </c>
      <c r="M106" s="1">
        <f t="shared" ca="1" si="19"/>
        <v>13.911160000000001</v>
      </c>
      <c r="N106" s="1">
        <f t="shared" ca="1" si="19"/>
        <v>9.0680315</v>
      </c>
      <c r="O106" s="1">
        <f t="shared" ca="1" si="19"/>
        <v>39679.71639999999</v>
      </c>
      <c r="P106" s="1">
        <f ca="1">SUM(OFFSET($A$91,15,1,1,14))</f>
        <v>39702.695591499993</v>
      </c>
      <c r="Q106" s="2">
        <f ca="1">SUM(OFFSET($A$91,15,1,1,12))</f>
        <v>13.911160000000001</v>
      </c>
    </row>
    <row r="107" spans="1:21" x14ac:dyDescent="0.2">
      <c r="A107" s="1" t="s">
        <v>43</v>
      </c>
      <c r="B107" s="1">
        <f ca="1">SUM(OFFSET($A$91,2,1,14,1))</f>
        <v>12865.711943400001</v>
      </c>
      <c r="C107" s="1">
        <f ca="1">SUM(OFFSET($A$91,2,2,14,1))</f>
        <v>34329.128992999991</v>
      </c>
      <c r="D107" s="1">
        <f ca="1">SUM(OFFSET($A$91,2,3,14,1))</f>
        <v>109212.9547584</v>
      </c>
      <c r="E107" s="1">
        <f ca="1">SUM(OFFSET($A$91,2,4,14,1))</f>
        <v>156957.04426989995</v>
      </c>
      <c r="F107" s="1">
        <f ca="1">SUM(OFFSET($A$91,2,5,14,1))</f>
        <v>61025.266118499996</v>
      </c>
      <c r="G107" s="1">
        <f ca="1">SUM(OFFSET($A$91,2,6,14,1))</f>
        <v>38654.673886600001</v>
      </c>
      <c r="H107" s="1">
        <f ca="1">SUM(OFFSET($A$91,2,7,14,1))</f>
        <v>34834.545418400005</v>
      </c>
      <c r="I107" s="1">
        <f ca="1">SUM(OFFSET($A$91,2,8,14,1))</f>
        <v>10845.486879399999</v>
      </c>
      <c r="J107" s="1">
        <f ca="1">SUM(OFFSET($A$91,2,9,14,1))</f>
        <v>79749.994647299987</v>
      </c>
      <c r="K107" s="1">
        <f ca="1">SUM(OFFSET($A$91,2,10,14,1))</f>
        <v>19131.877671400001</v>
      </c>
      <c r="L107" s="1">
        <f ca="1">SUM(OFFSET($A$91,2,11,14,1))</f>
        <v>17564.151347199997</v>
      </c>
      <c r="M107" s="1">
        <f ca="1">SUM(OFFSET($A$91,2,12,14,1))</f>
        <v>26062.219809300001</v>
      </c>
      <c r="N107" s="1">
        <f ca="1">SUM(OFFSET($A$91,2,13,14,1))</f>
        <v>6855.0557431999996</v>
      </c>
      <c r="O107" s="1">
        <f ca="1">SUM(OFFSET($A$91,2,14,14,1))</f>
        <v>39700.827725999989</v>
      </c>
      <c r="P107" s="1">
        <f ca="1">SUM(OFFSET($A$91,16,1,1,14))</f>
        <v>647788.939212</v>
      </c>
      <c r="Q107" s="2">
        <f ca="1">SUM(OFFSET($A$91,16,1,1,12))</f>
        <v>601233.0557428</v>
      </c>
      <c r="U107" s="2"/>
    </row>
    <row r="108" spans="1:21" x14ac:dyDescent="0.2">
      <c r="O108" s="11" t="s">
        <v>59</v>
      </c>
      <c r="P108" s="1">
        <f ca="1">SUM(B93:M104)</f>
        <v>601215.9624943001</v>
      </c>
      <c r="U108" s="2"/>
    </row>
    <row r="109" spans="1:21" x14ac:dyDescent="0.2">
      <c r="A109" s="1" t="s">
        <v>50</v>
      </c>
      <c r="U109" s="2"/>
    </row>
    <row r="110" spans="1:21" x14ac:dyDescent="0.2">
      <c r="B110" s="1">
        <v>1</v>
      </c>
      <c r="C110" s="1">
        <v>2</v>
      </c>
      <c r="D110" s="1">
        <v>3</v>
      </c>
      <c r="E110" s="1">
        <v>4</v>
      </c>
      <c r="F110" s="1">
        <v>5</v>
      </c>
      <c r="G110" s="1">
        <v>6</v>
      </c>
      <c r="H110" s="1">
        <v>7</v>
      </c>
      <c r="I110" s="1">
        <v>8</v>
      </c>
      <c r="J110" s="1">
        <v>9</v>
      </c>
      <c r="K110" s="1">
        <v>10</v>
      </c>
      <c r="L110" s="1">
        <v>11</v>
      </c>
      <c r="M110" s="1">
        <v>12</v>
      </c>
      <c r="N110" s="1">
        <v>13</v>
      </c>
      <c r="O110" s="1">
        <v>14</v>
      </c>
      <c r="P110" s="1" t="s">
        <v>43</v>
      </c>
      <c r="Q110" s="2" t="s">
        <v>61</v>
      </c>
      <c r="U110" s="2"/>
    </row>
    <row r="111" spans="1:21" x14ac:dyDescent="0.2">
      <c r="A111" s="1">
        <v>1</v>
      </c>
      <c r="B111" s="1">
        <f t="shared" ref="B111:O124" ca="1" si="20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1015.9627740000002</v>
      </c>
      <c r="C111" s="1">
        <f t="shared" ca="1" si="20"/>
        <v>206.96354500000004</v>
      </c>
      <c r="D111" s="1">
        <f t="shared" ca="1" si="20"/>
        <v>337.74054510000002</v>
      </c>
      <c r="E111" s="1">
        <f t="shared" ca="1" si="20"/>
        <v>41.809538699999997</v>
      </c>
      <c r="F111" s="1">
        <f t="shared" ca="1" si="20"/>
        <v>3.9311468999999999</v>
      </c>
      <c r="G111" s="1">
        <f t="shared" ca="1" si="20"/>
        <v>0</v>
      </c>
      <c r="H111" s="1">
        <f t="shared" ca="1" si="20"/>
        <v>4.7558000000000003E-2</v>
      </c>
      <c r="I111" s="1">
        <f t="shared" ca="1" si="20"/>
        <v>0</v>
      </c>
      <c r="J111" s="1">
        <f t="shared" ca="1" si="20"/>
        <v>0</v>
      </c>
      <c r="K111" s="1">
        <f t="shared" ca="1" si="20"/>
        <v>0</v>
      </c>
      <c r="L111" s="1">
        <f t="shared" ca="1" si="20"/>
        <v>0</v>
      </c>
      <c r="M111" s="1">
        <f t="shared" ca="1" si="20"/>
        <v>0</v>
      </c>
      <c r="N111" s="1">
        <f t="shared" ca="1" si="20"/>
        <v>0</v>
      </c>
      <c r="O111" s="1">
        <f t="shared" ca="1" si="20"/>
        <v>0</v>
      </c>
      <c r="P111" s="1">
        <f ca="1">SUM(OFFSET($A$109,2,1,1,14))</f>
        <v>1606.4551077000001</v>
      </c>
      <c r="Q111" s="2">
        <f ca="1">SUM(OFFSET($A$109,2,1,1,12))</f>
        <v>1606.4551077000001</v>
      </c>
      <c r="U111" s="2"/>
    </row>
    <row r="112" spans="1:21" x14ac:dyDescent="0.2">
      <c r="A112" s="1">
        <v>2</v>
      </c>
      <c r="B112" s="1">
        <f t="shared" ca="1" si="20"/>
        <v>285.345482</v>
      </c>
      <c r="C112" s="1">
        <f t="shared" ca="1" si="20"/>
        <v>3302.9133399999996</v>
      </c>
      <c r="D112" s="1">
        <f t="shared" ca="1" si="20"/>
        <v>762.70515110000008</v>
      </c>
      <c r="E112" s="1">
        <f t="shared" ca="1" si="20"/>
        <v>280.94645399999996</v>
      </c>
      <c r="F112" s="1">
        <f t="shared" ca="1" si="20"/>
        <v>173.59540900000002</v>
      </c>
      <c r="G112" s="1">
        <f t="shared" ca="1" si="20"/>
        <v>2.0088036000000002</v>
      </c>
      <c r="H112" s="1">
        <f t="shared" ca="1" si="20"/>
        <v>0.54336089999999992</v>
      </c>
      <c r="I112" s="1">
        <f t="shared" ca="1" si="20"/>
        <v>0</v>
      </c>
      <c r="J112" s="1">
        <f t="shared" ca="1" si="20"/>
        <v>0</v>
      </c>
      <c r="K112" s="1">
        <f t="shared" ca="1" si="20"/>
        <v>0</v>
      </c>
      <c r="L112" s="1">
        <f t="shared" ca="1" si="20"/>
        <v>0</v>
      </c>
      <c r="M112" s="1">
        <f t="shared" ca="1" si="20"/>
        <v>0</v>
      </c>
      <c r="N112" s="1">
        <f t="shared" ca="1" si="20"/>
        <v>0</v>
      </c>
      <c r="O112" s="1">
        <f t="shared" ca="1" si="20"/>
        <v>0</v>
      </c>
      <c r="P112" s="1">
        <f ca="1">SUM(OFFSET($A$109,3,1,1,14))</f>
        <v>4808.0580005999991</v>
      </c>
      <c r="Q112" s="2">
        <f ca="1">SUM(OFFSET($A$109,3,1,1,12))</f>
        <v>4808.0580005999991</v>
      </c>
      <c r="U112" s="2"/>
    </row>
    <row r="113" spans="1:21" x14ac:dyDescent="0.2">
      <c r="A113" s="1">
        <v>3</v>
      </c>
      <c r="B113" s="1">
        <f t="shared" ca="1" si="20"/>
        <v>504.64469149999996</v>
      </c>
      <c r="C113" s="1">
        <f t="shared" ca="1" si="20"/>
        <v>893.29416670000001</v>
      </c>
      <c r="D113" s="1">
        <f t="shared" ca="1" si="20"/>
        <v>3922.3727500000005</v>
      </c>
      <c r="E113" s="1">
        <f t="shared" ca="1" si="20"/>
        <v>8216.1545399999995</v>
      </c>
      <c r="F113" s="1">
        <f t="shared" ca="1" si="20"/>
        <v>990.34969440000009</v>
      </c>
      <c r="G113" s="1">
        <f t="shared" ca="1" si="20"/>
        <v>17.0905649</v>
      </c>
      <c r="H113" s="1">
        <f t="shared" ca="1" si="20"/>
        <v>365.09440280000001</v>
      </c>
      <c r="I113" s="1">
        <f t="shared" ca="1" si="20"/>
        <v>0</v>
      </c>
      <c r="J113" s="1">
        <f t="shared" ca="1" si="20"/>
        <v>0</v>
      </c>
      <c r="K113" s="1">
        <f t="shared" ca="1" si="20"/>
        <v>0</v>
      </c>
      <c r="L113" s="1">
        <f t="shared" ca="1" si="20"/>
        <v>0</v>
      </c>
      <c r="M113" s="1">
        <f t="shared" ca="1" si="20"/>
        <v>0</v>
      </c>
      <c r="N113" s="1">
        <f t="shared" ca="1" si="20"/>
        <v>0</v>
      </c>
      <c r="O113" s="1">
        <f t="shared" ca="1" si="20"/>
        <v>0</v>
      </c>
      <c r="P113" s="1">
        <f ca="1">SUM(OFFSET($A$109,4,1,1,14))</f>
        <v>14909.0008103</v>
      </c>
      <c r="Q113" s="2">
        <f ca="1">SUM(OFFSET($A$109,4,1,1,12))</f>
        <v>14909.0008103</v>
      </c>
      <c r="U113" s="2"/>
    </row>
    <row r="114" spans="1:21" x14ac:dyDescent="0.2">
      <c r="A114" s="1">
        <v>4</v>
      </c>
      <c r="B114" s="1">
        <f t="shared" ca="1" si="20"/>
        <v>67.361681199999992</v>
      </c>
      <c r="C114" s="1">
        <f t="shared" ca="1" si="20"/>
        <v>342.76187099999993</v>
      </c>
      <c r="D114" s="1">
        <f t="shared" ca="1" si="20"/>
        <v>8176.8374400000002</v>
      </c>
      <c r="E114" s="1">
        <f t="shared" ca="1" si="20"/>
        <v>32813.495999999999</v>
      </c>
      <c r="F114" s="1">
        <f t="shared" ca="1" si="20"/>
        <v>1786.0989500000001</v>
      </c>
      <c r="G114" s="1">
        <f t="shared" ca="1" si="20"/>
        <v>36.687519400000006</v>
      </c>
      <c r="H114" s="1">
        <f t="shared" ca="1" si="20"/>
        <v>921.56943000000001</v>
      </c>
      <c r="I114" s="1">
        <f t="shared" ca="1" si="20"/>
        <v>8.1032544000000009</v>
      </c>
      <c r="J114" s="1">
        <f t="shared" ca="1" si="20"/>
        <v>9.0894352000000005</v>
      </c>
      <c r="K114" s="1">
        <f t="shared" ca="1" si="20"/>
        <v>0</v>
      </c>
      <c r="L114" s="1">
        <f t="shared" ca="1" si="20"/>
        <v>0</v>
      </c>
      <c r="M114" s="1">
        <f t="shared" ca="1" si="20"/>
        <v>0</v>
      </c>
      <c r="N114" s="1">
        <f t="shared" ca="1" si="20"/>
        <v>0</v>
      </c>
      <c r="O114" s="1">
        <f t="shared" ca="1" si="20"/>
        <v>0</v>
      </c>
      <c r="P114" s="1">
        <f ca="1">SUM(OFFSET($A$109,5,1,1,14))</f>
        <v>44162.005581200006</v>
      </c>
      <c r="Q114" s="2">
        <f ca="1">SUM(OFFSET($A$109,5,1,1,12))</f>
        <v>44162.005581200006</v>
      </c>
      <c r="U114" s="2"/>
    </row>
    <row r="115" spans="1:21" x14ac:dyDescent="0.2">
      <c r="A115" s="1">
        <v>5</v>
      </c>
      <c r="B115" s="1">
        <f t="shared" ca="1" si="20"/>
        <v>3.6061760999999999</v>
      </c>
      <c r="C115" s="1">
        <f t="shared" ca="1" si="20"/>
        <v>133.314617</v>
      </c>
      <c r="D115" s="1">
        <f t="shared" ca="1" si="20"/>
        <v>721.26183690000005</v>
      </c>
      <c r="E115" s="1">
        <f t="shared" ca="1" si="20"/>
        <v>1361.3194800000001</v>
      </c>
      <c r="F115" s="1">
        <f t="shared" ca="1" si="20"/>
        <v>5175.4046199999993</v>
      </c>
      <c r="G115" s="1">
        <f t="shared" ca="1" si="20"/>
        <v>444.454633</v>
      </c>
      <c r="H115" s="1">
        <f t="shared" ca="1" si="20"/>
        <v>119.82633200000001</v>
      </c>
      <c r="I115" s="1">
        <f t="shared" ca="1" si="20"/>
        <v>54.055306500000007</v>
      </c>
      <c r="J115" s="1">
        <f t="shared" ca="1" si="20"/>
        <v>249.78295799999998</v>
      </c>
      <c r="K115" s="1">
        <f t="shared" ca="1" si="20"/>
        <v>0</v>
      </c>
      <c r="L115" s="1">
        <f t="shared" ca="1" si="20"/>
        <v>0.55061480000000007</v>
      </c>
      <c r="M115" s="1">
        <f t="shared" ca="1" si="20"/>
        <v>0</v>
      </c>
      <c r="N115" s="1">
        <f t="shared" ca="1" si="20"/>
        <v>0</v>
      </c>
      <c r="O115" s="1">
        <f t="shared" ca="1" si="20"/>
        <v>0</v>
      </c>
      <c r="P115" s="1">
        <f ca="1">SUM(OFFSET($A$109,6,1,1,14))</f>
        <v>8263.5765743000011</v>
      </c>
      <c r="Q115" s="2">
        <f ca="1">SUM(OFFSET($A$109,6,1,1,12))</f>
        <v>8263.5765743000011</v>
      </c>
      <c r="U115" s="2"/>
    </row>
    <row r="116" spans="1:21" x14ac:dyDescent="0.2">
      <c r="A116" s="1">
        <v>6</v>
      </c>
      <c r="B116" s="1">
        <f t="shared" ca="1" si="20"/>
        <v>0</v>
      </c>
      <c r="C116" s="1">
        <f t="shared" ca="1" si="20"/>
        <v>1.3552960999999997</v>
      </c>
      <c r="D116" s="1">
        <f t="shared" ca="1" si="20"/>
        <v>10.240272099999999</v>
      </c>
      <c r="E116" s="1">
        <f t="shared" ca="1" si="20"/>
        <v>24.970862400000005</v>
      </c>
      <c r="F116" s="1">
        <f t="shared" ca="1" si="20"/>
        <v>432.04411699999997</v>
      </c>
      <c r="G116" s="1">
        <f t="shared" ca="1" si="20"/>
        <v>3687.87336</v>
      </c>
      <c r="H116" s="1">
        <f t="shared" ca="1" si="20"/>
        <v>1.1219658000000001</v>
      </c>
      <c r="I116" s="1">
        <f t="shared" ca="1" si="20"/>
        <v>2.5105834999999996</v>
      </c>
      <c r="J116" s="1">
        <f t="shared" ca="1" si="20"/>
        <v>70.837351300000009</v>
      </c>
      <c r="K116" s="1">
        <f t="shared" ca="1" si="20"/>
        <v>0</v>
      </c>
      <c r="L116" s="1">
        <f t="shared" ca="1" si="20"/>
        <v>78.279314800000009</v>
      </c>
      <c r="M116" s="1">
        <f t="shared" ca="1" si="20"/>
        <v>1.9669384000000001</v>
      </c>
      <c r="N116" s="1">
        <f t="shared" ca="1" si="20"/>
        <v>0</v>
      </c>
      <c r="O116" s="1">
        <f t="shared" ca="1" si="20"/>
        <v>0</v>
      </c>
      <c r="P116" s="1">
        <f ca="1">SUM(OFFSET($A$109,7,1,1,14))</f>
        <v>4311.2000613999999</v>
      </c>
      <c r="Q116" s="2">
        <f ca="1">SUM(OFFSET($A$109,7,1,1,12))</f>
        <v>4311.2000613999999</v>
      </c>
      <c r="U116" s="2"/>
    </row>
    <row r="117" spans="1:21" x14ac:dyDescent="0.2">
      <c r="A117" s="1">
        <v>7</v>
      </c>
      <c r="B117" s="1">
        <f t="shared" ca="1" si="20"/>
        <v>2.0311800000000001E-2</v>
      </c>
      <c r="C117" s="1">
        <f t="shared" ca="1" si="20"/>
        <v>0.29107080000000002</v>
      </c>
      <c r="D117" s="1">
        <f t="shared" ca="1" si="20"/>
        <v>220.54826460000001</v>
      </c>
      <c r="E117" s="1">
        <f t="shared" ca="1" si="20"/>
        <v>558.96593000000007</v>
      </c>
      <c r="F117" s="1">
        <f t="shared" ca="1" si="20"/>
        <v>102.4327546</v>
      </c>
      <c r="G117" s="1">
        <f t="shared" ca="1" si="20"/>
        <v>1.0604039000000001</v>
      </c>
      <c r="H117" s="1">
        <f t="shared" ca="1" si="20"/>
        <v>3334.56988</v>
      </c>
      <c r="I117" s="1">
        <f t="shared" ca="1" si="20"/>
        <v>50.904694399999997</v>
      </c>
      <c r="J117" s="1">
        <f t="shared" ca="1" si="20"/>
        <v>16.910717099999999</v>
      </c>
      <c r="K117" s="1">
        <f t="shared" ca="1" si="20"/>
        <v>0</v>
      </c>
      <c r="L117" s="1">
        <f t="shared" ca="1" si="20"/>
        <v>0</v>
      </c>
      <c r="M117" s="1">
        <f t="shared" ca="1" si="20"/>
        <v>0</v>
      </c>
      <c r="N117" s="1">
        <f t="shared" ca="1" si="20"/>
        <v>0</v>
      </c>
      <c r="O117" s="1">
        <f t="shared" ca="1" si="20"/>
        <v>0</v>
      </c>
      <c r="P117" s="1">
        <f ca="1">SUM(OFFSET($A$109,8,1,1,14))</f>
        <v>4285.7040271999995</v>
      </c>
      <c r="Q117" s="2">
        <f ca="1">SUM(OFFSET($A$109,8,1,1,12))</f>
        <v>4285.7040271999995</v>
      </c>
      <c r="U117" s="2"/>
    </row>
    <row r="118" spans="1:21" x14ac:dyDescent="0.2">
      <c r="A118" s="1">
        <v>8</v>
      </c>
      <c r="B118" s="1">
        <f t="shared" ca="1" si="20"/>
        <v>0</v>
      </c>
      <c r="C118" s="1">
        <f t="shared" ca="1" si="20"/>
        <v>0</v>
      </c>
      <c r="D118" s="1">
        <f t="shared" ca="1" si="20"/>
        <v>0</v>
      </c>
      <c r="E118" s="1">
        <f t="shared" ca="1" si="20"/>
        <v>5.4517276000000008</v>
      </c>
      <c r="F118" s="1">
        <f t="shared" ca="1" si="20"/>
        <v>53.46205179999999</v>
      </c>
      <c r="G118" s="1">
        <f t="shared" ca="1" si="20"/>
        <v>2.3681019000000005</v>
      </c>
      <c r="H118" s="1">
        <f t="shared" ca="1" si="20"/>
        <v>44.684963600000003</v>
      </c>
      <c r="I118" s="1">
        <f t="shared" ca="1" si="20"/>
        <v>938.23286899999994</v>
      </c>
      <c r="J118" s="1">
        <f t="shared" ca="1" si="20"/>
        <v>120.5607638</v>
      </c>
      <c r="K118" s="1">
        <f t="shared" ca="1" si="20"/>
        <v>1.1296501999999999</v>
      </c>
      <c r="L118" s="1">
        <f t="shared" ca="1" si="20"/>
        <v>0</v>
      </c>
      <c r="M118" s="1">
        <f t="shared" ca="1" si="20"/>
        <v>0</v>
      </c>
      <c r="N118" s="1">
        <f t="shared" ca="1" si="20"/>
        <v>0</v>
      </c>
      <c r="O118" s="1">
        <f t="shared" ca="1" si="20"/>
        <v>0</v>
      </c>
      <c r="P118" s="1">
        <f ca="1">SUM(OFFSET($A$109,9,1,1,14))</f>
        <v>1165.8901278999999</v>
      </c>
      <c r="Q118" s="2">
        <f ca="1">SUM(OFFSET($A$109,9,1,1,12))</f>
        <v>1165.8901278999999</v>
      </c>
      <c r="U118" s="2"/>
    </row>
    <row r="119" spans="1:21" x14ac:dyDescent="0.2">
      <c r="A119" s="1">
        <v>9</v>
      </c>
      <c r="B119" s="1">
        <f t="shared" ca="1" si="20"/>
        <v>0</v>
      </c>
      <c r="C119" s="1">
        <f t="shared" ca="1" si="20"/>
        <v>0</v>
      </c>
      <c r="D119" s="1">
        <f t="shared" ca="1" si="20"/>
        <v>0</v>
      </c>
      <c r="E119" s="1">
        <f t="shared" ca="1" si="20"/>
        <v>5.3044049000000006</v>
      </c>
      <c r="F119" s="1">
        <f t="shared" ca="1" si="20"/>
        <v>232.18181399999995</v>
      </c>
      <c r="G119" s="1">
        <f t="shared" ca="1" si="20"/>
        <v>68.619554700000009</v>
      </c>
      <c r="H119" s="1">
        <f t="shared" ca="1" si="20"/>
        <v>20.243867899999994</v>
      </c>
      <c r="I119" s="1">
        <f t="shared" ca="1" si="20"/>
        <v>125.84799110000002</v>
      </c>
      <c r="J119" s="1">
        <f t="shared" ca="1" si="20"/>
        <v>6137.8993400000008</v>
      </c>
      <c r="K119" s="1">
        <f t="shared" ca="1" si="20"/>
        <v>147.66221029999997</v>
      </c>
      <c r="L119" s="1">
        <f t="shared" ca="1" si="20"/>
        <v>17.757978999999999</v>
      </c>
      <c r="M119" s="1">
        <f t="shared" ca="1" si="20"/>
        <v>224.42107200000001</v>
      </c>
      <c r="N119" s="1">
        <f t="shared" ca="1" si="20"/>
        <v>0</v>
      </c>
      <c r="O119" s="1">
        <f t="shared" ca="1" si="20"/>
        <v>0</v>
      </c>
      <c r="P119" s="1">
        <f ca="1">SUM(OFFSET($A$109,10,1,1,14))</f>
        <v>6979.9382339000013</v>
      </c>
      <c r="Q119" s="2">
        <f ca="1">SUM(OFFSET($A$109,10,1,1,12))</f>
        <v>6979.9382339000013</v>
      </c>
      <c r="U119" s="2"/>
    </row>
    <row r="120" spans="1:21" x14ac:dyDescent="0.2">
      <c r="A120" s="1">
        <v>10</v>
      </c>
      <c r="B120" s="1">
        <f t="shared" ca="1" si="20"/>
        <v>0</v>
      </c>
      <c r="C120" s="1">
        <f t="shared" ca="1" si="20"/>
        <v>0</v>
      </c>
      <c r="D120" s="1">
        <f t="shared" ca="1" si="20"/>
        <v>0</v>
      </c>
      <c r="E120" s="1">
        <f t="shared" ca="1" si="20"/>
        <v>0</v>
      </c>
      <c r="F120" s="1">
        <f t="shared" ca="1" si="20"/>
        <v>0</v>
      </c>
      <c r="G120" s="1">
        <f t="shared" ca="1" si="20"/>
        <v>0</v>
      </c>
      <c r="H120" s="1">
        <f t="shared" ca="1" si="20"/>
        <v>0</v>
      </c>
      <c r="I120" s="1">
        <f t="shared" ca="1" si="20"/>
        <v>1.6667318</v>
      </c>
      <c r="J120" s="1">
        <f t="shared" ca="1" si="20"/>
        <v>157.6245595</v>
      </c>
      <c r="K120" s="1">
        <f t="shared" ca="1" si="20"/>
        <v>1709.7358609999999</v>
      </c>
      <c r="L120" s="1">
        <f t="shared" ca="1" si="20"/>
        <v>0</v>
      </c>
      <c r="M120" s="1">
        <f t="shared" ca="1" si="20"/>
        <v>26.333036600000003</v>
      </c>
      <c r="N120" s="1">
        <f t="shared" ca="1" si="20"/>
        <v>0</v>
      </c>
      <c r="O120" s="1">
        <f t="shared" ca="1" si="20"/>
        <v>0</v>
      </c>
      <c r="P120" s="1">
        <f ca="1">SUM(OFFSET($A$109,11,1,1,14))</f>
        <v>1895.3601888999999</v>
      </c>
      <c r="Q120" s="2">
        <f ca="1">SUM(OFFSET($A$109,11,1,1,12))</f>
        <v>1895.3601888999999</v>
      </c>
      <c r="U120" s="2"/>
    </row>
    <row r="121" spans="1:21" x14ac:dyDescent="0.2">
      <c r="A121" s="1">
        <v>11</v>
      </c>
      <c r="B121" s="1">
        <f t="shared" ca="1" si="20"/>
        <v>0</v>
      </c>
      <c r="C121" s="1">
        <f t="shared" ca="1" si="20"/>
        <v>0</v>
      </c>
      <c r="D121" s="1">
        <f t="shared" ca="1" si="20"/>
        <v>0</v>
      </c>
      <c r="E121" s="1">
        <f t="shared" ca="1" si="20"/>
        <v>0</v>
      </c>
      <c r="F121" s="1">
        <f t="shared" ca="1" si="20"/>
        <v>0.55505159999999998</v>
      </c>
      <c r="G121" s="1">
        <f t="shared" ca="1" si="20"/>
        <v>75.880077299999996</v>
      </c>
      <c r="H121" s="1">
        <f t="shared" ca="1" si="20"/>
        <v>0</v>
      </c>
      <c r="I121" s="1">
        <f t="shared" ca="1" si="20"/>
        <v>0</v>
      </c>
      <c r="J121" s="1">
        <f t="shared" ca="1" si="20"/>
        <v>18.409038799999998</v>
      </c>
      <c r="K121" s="1">
        <f t="shared" ca="1" si="20"/>
        <v>0</v>
      </c>
      <c r="L121" s="1">
        <f t="shared" ca="1" si="20"/>
        <v>1341.1416580000002</v>
      </c>
      <c r="M121" s="1">
        <f t="shared" ca="1" si="20"/>
        <v>19.572657999999997</v>
      </c>
      <c r="N121" s="1">
        <f t="shared" ca="1" si="20"/>
        <v>4.4584015999999993</v>
      </c>
      <c r="O121" s="1">
        <f t="shared" ca="1" si="20"/>
        <v>1.6768599999999998E-2</v>
      </c>
      <c r="P121" s="1">
        <f ca="1">SUM(OFFSET($A$109,12,1,1,14))</f>
        <v>1460.0336539000002</v>
      </c>
      <c r="Q121" s="2">
        <f ca="1">SUM(OFFSET($A$109,12,1,1,12))</f>
        <v>1455.5584837000004</v>
      </c>
    </row>
    <row r="122" spans="1:21" x14ac:dyDescent="0.2">
      <c r="A122" s="1">
        <v>12</v>
      </c>
      <c r="B122" s="1">
        <f t="shared" ca="1" si="20"/>
        <v>0</v>
      </c>
      <c r="C122" s="1">
        <f t="shared" ca="1" si="20"/>
        <v>0</v>
      </c>
      <c r="D122" s="1">
        <f t="shared" ca="1" si="20"/>
        <v>0</v>
      </c>
      <c r="E122" s="1">
        <f t="shared" ca="1" si="20"/>
        <v>0</v>
      </c>
      <c r="F122" s="1">
        <f t="shared" ca="1" si="20"/>
        <v>0</v>
      </c>
      <c r="G122" s="1">
        <f t="shared" ca="1" si="20"/>
        <v>2.0600212</v>
      </c>
      <c r="H122" s="1">
        <f t="shared" ca="1" si="20"/>
        <v>0</v>
      </c>
      <c r="I122" s="1">
        <f t="shared" ca="1" si="20"/>
        <v>0</v>
      </c>
      <c r="J122" s="1">
        <f t="shared" ca="1" si="20"/>
        <v>225.540503</v>
      </c>
      <c r="K122" s="1">
        <f t="shared" ca="1" si="20"/>
        <v>25.930264399999999</v>
      </c>
      <c r="L122" s="1">
        <f t="shared" ca="1" si="20"/>
        <v>20.756067600000002</v>
      </c>
      <c r="M122" s="1">
        <f t="shared" ca="1" si="20"/>
        <v>1523.4405499999998</v>
      </c>
      <c r="N122" s="1">
        <f t="shared" ca="1" si="20"/>
        <v>2.0452300000000003E-2</v>
      </c>
      <c r="O122" s="1">
        <f t="shared" ca="1" si="20"/>
        <v>36.352453900000008</v>
      </c>
      <c r="P122" s="1">
        <f ca="1">SUM(OFFSET($A$109,13,1,1,14))</f>
        <v>1834.1003123999997</v>
      </c>
      <c r="Q122" s="2">
        <f ca="1">SUM(OFFSET($A$109,13,1,1,12))</f>
        <v>1797.7274061999997</v>
      </c>
    </row>
    <row r="123" spans="1:21" x14ac:dyDescent="0.2">
      <c r="A123" s="1">
        <v>13</v>
      </c>
      <c r="B123" s="1">
        <f t="shared" ca="1" si="20"/>
        <v>0</v>
      </c>
      <c r="C123" s="1">
        <f t="shared" ca="1" si="20"/>
        <v>0</v>
      </c>
      <c r="D123" s="1">
        <f t="shared" ca="1" si="20"/>
        <v>0</v>
      </c>
      <c r="E123" s="1">
        <f t="shared" ca="1" si="20"/>
        <v>0</v>
      </c>
      <c r="F123" s="1">
        <f t="shared" ca="1" si="20"/>
        <v>0</v>
      </c>
      <c r="G123" s="1">
        <f t="shared" ca="1" si="20"/>
        <v>0</v>
      </c>
      <c r="H123" s="1">
        <f t="shared" ca="1" si="20"/>
        <v>0</v>
      </c>
      <c r="I123" s="1">
        <f t="shared" ca="1" si="20"/>
        <v>0</v>
      </c>
      <c r="J123" s="1">
        <f t="shared" ca="1" si="20"/>
        <v>0</v>
      </c>
      <c r="K123" s="1">
        <f t="shared" ca="1" si="20"/>
        <v>0</v>
      </c>
      <c r="L123" s="1">
        <f t="shared" ca="1" si="20"/>
        <v>4.7240685000000013</v>
      </c>
      <c r="M123" s="1">
        <f t="shared" ca="1" si="20"/>
        <v>2.09687E-2</v>
      </c>
      <c r="N123" s="1">
        <f t="shared" ca="1" si="20"/>
        <v>539.87997199999995</v>
      </c>
      <c r="O123" s="1">
        <f t="shared" ca="1" si="20"/>
        <v>27.974777600000003</v>
      </c>
      <c r="P123" s="1">
        <f ca="1">SUM(OFFSET($A$109,14,1,1,14))</f>
        <v>572.59978679999995</v>
      </c>
      <c r="Q123" s="2">
        <f ca="1">SUM(OFFSET($A$109,14,1,1,12))</f>
        <v>4.7450372000000014</v>
      </c>
    </row>
    <row r="124" spans="1:21" x14ac:dyDescent="0.2">
      <c r="A124" s="1">
        <v>14</v>
      </c>
      <c r="B124" s="1">
        <f t="shared" ca="1" si="20"/>
        <v>0</v>
      </c>
      <c r="C124" s="1">
        <f t="shared" ca="1" si="20"/>
        <v>0</v>
      </c>
      <c r="D124" s="1">
        <f t="shared" ca="1" si="20"/>
        <v>0</v>
      </c>
      <c r="E124" s="1">
        <f t="shared" ca="1" si="20"/>
        <v>0</v>
      </c>
      <c r="F124" s="1">
        <f t="shared" ca="1" si="20"/>
        <v>0</v>
      </c>
      <c r="G124" s="1">
        <f t="shared" ca="1" si="20"/>
        <v>0</v>
      </c>
      <c r="H124" s="1">
        <f t="shared" ca="1" si="20"/>
        <v>0</v>
      </c>
      <c r="I124" s="1">
        <f t="shared" ca="1" si="20"/>
        <v>0</v>
      </c>
      <c r="J124" s="1">
        <f t="shared" ca="1" si="20"/>
        <v>0</v>
      </c>
      <c r="K124" s="1">
        <f t="shared" ca="1" si="20"/>
        <v>0</v>
      </c>
      <c r="L124" s="1">
        <f t="shared" ca="1" si="20"/>
        <v>1.7693200000000003E-2</v>
      </c>
      <c r="M124" s="1">
        <f t="shared" ca="1" si="20"/>
        <v>34.880298199999999</v>
      </c>
      <c r="N124" s="1">
        <f t="shared" ca="1" si="20"/>
        <v>27.775985900000002</v>
      </c>
      <c r="O124" s="1">
        <f t="shared" ca="1" si="20"/>
        <v>3208.3146000000002</v>
      </c>
      <c r="P124" s="1">
        <f ca="1">SUM(OFFSET($A$109,15,1,1,14))</f>
        <v>3270.9885773000001</v>
      </c>
      <c r="Q124" s="2">
        <f ca="1">SUM(OFFSET($A$109,15,1,1,12))</f>
        <v>34.897991399999995</v>
      </c>
    </row>
    <row r="125" spans="1:21" x14ac:dyDescent="0.2">
      <c r="A125" s="1" t="s">
        <v>43</v>
      </c>
      <c r="B125" s="1">
        <f ca="1">SUM(OFFSET($A$109,2,1,14,1))</f>
        <v>1876.9411166000002</v>
      </c>
      <c r="C125" s="1">
        <f ca="1">SUM(OFFSET($A$109,2,2,14,1))</f>
        <v>4880.8939065999984</v>
      </c>
      <c r="D125" s="1">
        <f ca="1">SUM(OFFSET($A$109,2,3,14,1))</f>
        <v>14151.706259800001</v>
      </c>
      <c r="E125" s="1">
        <f ca="1">SUM(OFFSET($A$109,2,4,14,1))</f>
        <v>43308.418937599992</v>
      </c>
      <c r="F125" s="1">
        <f ca="1">SUM(OFFSET($A$109,2,5,14,1))</f>
        <v>8950.0556092999996</v>
      </c>
      <c r="G125" s="1">
        <f ca="1">SUM(OFFSET($A$109,2,6,14,1))</f>
        <v>4338.1030398999992</v>
      </c>
      <c r="H125" s="1">
        <f ca="1">SUM(OFFSET($A$109,2,7,14,1))</f>
        <v>4807.7017609999994</v>
      </c>
      <c r="I125" s="1">
        <f ca="1">SUM(OFFSET($A$109,2,8,14,1))</f>
        <v>1181.3214306999998</v>
      </c>
      <c r="J125" s="1">
        <f ca="1">SUM(OFFSET($A$109,2,9,14,1))</f>
        <v>7006.6546667000011</v>
      </c>
      <c r="K125" s="1">
        <f ca="1">SUM(OFFSET($A$109,2,10,14,1))</f>
        <v>1884.4579858999998</v>
      </c>
      <c r="L125" s="1">
        <f ca="1">SUM(OFFSET($A$109,2,11,14,1))</f>
        <v>1463.2273959000001</v>
      </c>
      <c r="M125" s="1">
        <f ca="1">SUM(OFFSET($A$109,2,12,14,1))</f>
        <v>1830.6355218999997</v>
      </c>
      <c r="N125" s="1">
        <f ca="1">SUM(OFFSET($A$109,2,13,14,1))</f>
        <v>572.13481179999997</v>
      </c>
      <c r="O125" s="1">
        <f ca="1">SUM(OFFSET($A$109,2,14,14,1))</f>
        <v>3272.6586001000001</v>
      </c>
      <c r="P125" s="1">
        <f ca="1">SUM(OFFSET($A$109,16,1,1,14))</f>
        <v>99524.911043799992</v>
      </c>
      <c r="Q125" s="2">
        <f ca="1">SUM(OFFSET($A$109,16,1,1,12))</f>
        <v>95680.117631899993</v>
      </c>
    </row>
    <row r="126" spans="1:21" x14ac:dyDescent="0.2">
      <c r="O126" s="11" t="s">
        <v>59</v>
      </c>
      <c r="P126" s="1">
        <f ca="1">SUM(B111:M122)</f>
        <v>95640.474603299983</v>
      </c>
    </row>
    <row r="127" spans="1:21" x14ac:dyDescent="0.2">
      <c r="A127" s="1" t="s">
        <v>51</v>
      </c>
    </row>
    <row r="128" spans="1:21" x14ac:dyDescent="0.2">
      <c r="B128" s="1">
        <v>1</v>
      </c>
      <c r="C128" s="1">
        <v>2</v>
      </c>
      <c r="D128" s="1">
        <v>3</v>
      </c>
      <c r="E128" s="1">
        <v>4</v>
      </c>
      <c r="F128" s="1">
        <v>5</v>
      </c>
      <c r="G128" s="1">
        <v>6</v>
      </c>
      <c r="H128" s="1">
        <v>7</v>
      </c>
      <c r="I128" s="1">
        <v>8</v>
      </c>
      <c r="J128" s="1">
        <v>9</v>
      </c>
      <c r="K128" s="1">
        <v>10</v>
      </c>
      <c r="L128" s="1">
        <v>11</v>
      </c>
      <c r="M128" s="1">
        <v>12</v>
      </c>
      <c r="N128" s="1">
        <v>13</v>
      </c>
      <c r="O128" s="1">
        <v>14</v>
      </c>
      <c r="P128" s="1" t="s">
        <v>43</v>
      </c>
      <c r="Q128" s="2" t="s">
        <v>61</v>
      </c>
    </row>
    <row r="129" spans="1:17" x14ac:dyDescent="0.2">
      <c r="A129" s="1">
        <v>1</v>
      </c>
      <c r="B129" s="1">
        <f t="shared" ref="B129:O142" ca="1" si="21">INDIRECT(ADDRESS(ROW(),COLUMN(),,,OFFSET(ListWs,1,0)))+INDIRECT(ADDRESS(ROW(),COLUMN(),,,OFFSET(ListWs,2,0)))+INDIRECT(ADDRESS(ROW(),COLUMN(),,,OFFSET(ListWs,3,0)))+INDIRECT(ADDRESS(ROW(),COLUMN(),,,OFFSET(ListWs,4,0)))+INDIRECT(ADDRESS(ROW(),COLUMN(),,,OFFSET(ListWs,5,0)))+INDIRECT(ADDRESS(ROW(),COLUMN(),,,OFFSET(ListWs,6,0)))+INDIRECT(ADDRESS(ROW(),COLUMN(),,,OFFSET(ListWs,7,0)))+INDIRECT(ADDRESS(ROW(),COLUMN(),,,OFFSET(ListWs,8,0)))+INDIRECT(ADDRESS(ROW(),COLUMN(),,,OFFSET(ListWs,9,0)))</f>
        <v>670.54259999999999</v>
      </c>
      <c r="C129" s="1">
        <f t="shared" ca="1" si="21"/>
        <v>245.6763</v>
      </c>
      <c r="D129" s="1">
        <f t="shared" ca="1" si="21"/>
        <v>7.1330600000000004</v>
      </c>
      <c r="E129" s="1">
        <f t="shared" ca="1" si="21"/>
        <v>13.95589</v>
      </c>
      <c r="F129" s="1">
        <f t="shared" ca="1" si="21"/>
        <v>1.0727869999999999</v>
      </c>
      <c r="G129" s="1">
        <f t="shared" ca="1" si="21"/>
        <v>1.5398E-3</v>
      </c>
      <c r="H129" s="1">
        <f t="shared" ca="1" si="21"/>
        <v>2.09196E-2</v>
      </c>
      <c r="I129" s="1">
        <f t="shared" ca="1" si="21"/>
        <v>8.6000000000000007E-6</v>
      </c>
      <c r="J129" s="1">
        <f t="shared" ca="1" si="21"/>
        <v>2.19E-5</v>
      </c>
      <c r="K129" s="1">
        <f t="shared" ca="1" si="21"/>
        <v>0</v>
      </c>
      <c r="L129" s="1">
        <f t="shared" ca="1" si="21"/>
        <v>2.9999999999999999E-7</v>
      </c>
      <c r="M129" s="1">
        <f t="shared" ca="1" si="21"/>
        <v>9.9999999999999995E-8</v>
      </c>
      <c r="N129" s="1">
        <f t="shared" ca="1" si="21"/>
        <v>0</v>
      </c>
      <c r="O129" s="1">
        <f t="shared" ca="1" si="21"/>
        <v>0</v>
      </c>
      <c r="P129" s="1">
        <f ca="1">SUM(OFFSET($A$127,2,1,1,14))</f>
        <v>938.40312729999982</v>
      </c>
      <c r="Q129" s="2">
        <f ca="1">SUM(OFFSET($A$127,2,1,1,12))</f>
        <v>938.40312729999982</v>
      </c>
    </row>
    <row r="130" spans="1:17" x14ac:dyDescent="0.2">
      <c r="A130" s="1">
        <v>2</v>
      </c>
      <c r="B130" s="1">
        <f t="shared" ca="1" si="21"/>
        <v>175.87700000000001</v>
      </c>
      <c r="C130" s="1">
        <f t="shared" ca="1" si="21"/>
        <v>932.86929999999995</v>
      </c>
      <c r="D130" s="1">
        <f t="shared" ca="1" si="21"/>
        <v>5.5346929999999999</v>
      </c>
      <c r="E130" s="1">
        <f t="shared" ca="1" si="21"/>
        <v>40.285220000000002</v>
      </c>
      <c r="F130" s="1">
        <f t="shared" ca="1" si="21"/>
        <v>24.059550000000002</v>
      </c>
      <c r="G130" s="1">
        <f t="shared" ca="1" si="21"/>
        <v>0.12829660000000001</v>
      </c>
      <c r="H130" s="1">
        <f t="shared" ca="1" si="21"/>
        <v>2.3634200000000001E-2</v>
      </c>
      <c r="I130" s="1">
        <f t="shared" ca="1" si="21"/>
        <v>8.3399999999999994E-5</v>
      </c>
      <c r="J130" s="1">
        <f t="shared" ca="1" si="21"/>
        <v>1.2771E-3</v>
      </c>
      <c r="K130" s="1">
        <f t="shared" ca="1" si="21"/>
        <v>5.9999999999999997E-7</v>
      </c>
      <c r="L130" s="1">
        <f t="shared" ca="1" si="21"/>
        <v>1.8899999999999999E-5</v>
      </c>
      <c r="M130" s="1">
        <f t="shared" ca="1" si="21"/>
        <v>5.6999999999999996E-6</v>
      </c>
      <c r="N130" s="1">
        <f t="shared" ca="1" si="21"/>
        <v>0</v>
      </c>
      <c r="O130" s="1">
        <f t="shared" ca="1" si="21"/>
        <v>0</v>
      </c>
      <c r="P130" s="1">
        <f ca="1">SUM(OFFSET($A$127,3,1,1,14))</f>
        <v>1178.7790795000001</v>
      </c>
      <c r="Q130" s="2">
        <f ca="1">SUM(OFFSET($A$127,3,1,1,12))</f>
        <v>1178.7790795000001</v>
      </c>
    </row>
    <row r="131" spans="1:17" x14ac:dyDescent="0.2">
      <c r="A131" s="1">
        <v>3</v>
      </c>
      <c r="B131" s="1">
        <f t="shared" ca="1" si="21"/>
        <v>11.676880000000001</v>
      </c>
      <c r="C131" s="1">
        <f t="shared" ca="1" si="21"/>
        <v>10.97592</v>
      </c>
      <c r="D131" s="1">
        <f t="shared" ca="1" si="21"/>
        <v>130.03440000000001</v>
      </c>
      <c r="E131" s="1">
        <f t="shared" ca="1" si="21"/>
        <v>309.6327</v>
      </c>
      <c r="F131" s="1">
        <f t="shared" ca="1" si="21"/>
        <v>3.0758139999999998</v>
      </c>
      <c r="G131" s="1">
        <f t="shared" ca="1" si="21"/>
        <v>8.711E-3</v>
      </c>
      <c r="H131" s="1">
        <f t="shared" ca="1" si="21"/>
        <v>0.81841410000000003</v>
      </c>
      <c r="I131" s="1">
        <f t="shared" ca="1" si="21"/>
        <v>2.7881999999999998E-3</v>
      </c>
      <c r="J131" s="1">
        <f t="shared" ca="1" si="21"/>
        <v>1.1592E-3</v>
      </c>
      <c r="K131" s="1">
        <f t="shared" ca="1" si="21"/>
        <v>2.3E-6</v>
      </c>
      <c r="L131" s="1">
        <f t="shared" ca="1" si="21"/>
        <v>2.3E-6</v>
      </c>
      <c r="M131" s="1">
        <f t="shared" ca="1" si="21"/>
        <v>6.9999999999999997E-7</v>
      </c>
      <c r="N131" s="1">
        <f t="shared" ca="1" si="21"/>
        <v>0</v>
      </c>
      <c r="O131" s="1">
        <f t="shared" ca="1" si="21"/>
        <v>0</v>
      </c>
      <c r="P131" s="1">
        <f ca="1">SUM(OFFSET($A$127,4,1,1,14))</f>
        <v>466.2267918</v>
      </c>
      <c r="Q131" s="2">
        <f ca="1">SUM(OFFSET($A$127,4,1,1,12))</f>
        <v>466.2267918</v>
      </c>
    </row>
    <row r="132" spans="1:17" x14ac:dyDescent="0.2">
      <c r="A132" s="1">
        <v>4</v>
      </c>
      <c r="B132" s="1">
        <f t="shared" ca="1" si="21"/>
        <v>23.989350000000002</v>
      </c>
      <c r="C132" s="1">
        <f t="shared" ca="1" si="21"/>
        <v>76.124989999999997</v>
      </c>
      <c r="D132" s="1">
        <f t="shared" ca="1" si="21"/>
        <v>301.1078</v>
      </c>
      <c r="E132" s="1">
        <f t="shared" ca="1" si="21"/>
        <v>4471.9210000000003</v>
      </c>
      <c r="F132" s="1">
        <f t="shared" ca="1" si="21"/>
        <v>567.60500000000002</v>
      </c>
      <c r="G132" s="1">
        <f t="shared" ca="1" si="21"/>
        <v>3.9049749999999999</v>
      </c>
      <c r="H132" s="1">
        <f t="shared" ca="1" si="21"/>
        <v>259.3064</v>
      </c>
      <c r="I132" s="1">
        <f t="shared" ca="1" si="21"/>
        <v>7.46821</v>
      </c>
      <c r="J132" s="1">
        <f t="shared" ca="1" si="21"/>
        <v>1.944715</v>
      </c>
      <c r="K132" s="1">
        <f t="shared" ca="1" si="21"/>
        <v>1.05979E-2</v>
      </c>
      <c r="L132" s="1">
        <f t="shared" ca="1" si="21"/>
        <v>1.472E-3</v>
      </c>
      <c r="M132" s="1">
        <f t="shared" ca="1" si="21"/>
        <v>2.7750000000000002E-4</v>
      </c>
      <c r="N132" s="1">
        <f t="shared" ca="1" si="21"/>
        <v>9.9999999999999995E-8</v>
      </c>
      <c r="O132" s="1">
        <f t="shared" ca="1" si="21"/>
        <v>2.9999999999999999E-7</v>
      </c>
      <c r="P132" s="1">
        <f ca="1">SUM(OFFSET($A$127,5,1,1,14))</f>
        <v>5713.3847877999997</v>
      </c>
      <c r="Q132" s="2">
        <f ca="1">SUM(OFFSET($A$127,5,1,1,12))</f>
        <v>5713.3847874000003</v>
      </c>
    </row>
    <row r="133" spans="1:17" x14ac:dyDescent="0.2">
      <c r="A133" s="1">
        <v>5</v>
      </c>
      <c r="B133" s="1">
        <f t="shared" ca="1" si="21"/>
        <v>0.65255580000000002</v>
      </c>
      <c r="C133" s="1">
        <f t="shared" ca="1" si="21"/>
        <v>16.775079999999999</v>
      </c>
      <c r="D133" s="1">
        <f t="shared" ca="1" si="21"/>
        <v>1.2431300000000001</v>
      </c>
      <c r="E133" s="1">
        <f t="shared" ca="1" si="21"/>
        <v>207.83529999999999</v>
      </c>
      <c r="F133" s="1">
        <f t="shared" ca="1" si="21"/>
        <v>1452.981</v>
      </c>
      <c r="G133" s="1">
        <f t="shared" ca="1" si="21"/>
        <v>200.61410000000001</v>
      </c>
      <c r="H133" s="1">
        <f t="shared" ca="1" si="21"/>
        <v>63.698749999999997</v>
      </c>
      <c r="I133" s="1">
        <f t="shared" ca="1" si="21"/>
        <v>0.67775319999999994</v>
      </c>
      <c r="J133" s="1">
        <f t="shared" ca="1" si="21"/>
        <v>36.735779999999998</v>
      </c>
      <c r="K133" s="1">
        <f t="shared" ca="1" si="21"/>
        <v>3.1001399999999998E-2</v>
      </c>
      <c r="L133" s="1">
        <f t="shared" ca="1" si="21"/>
        <v>8.8099499999999997E-2</v>
      </c>
      <c r="M133" s="1">
        <f t="shared" ca="1" si="21"/>
        <v>3.2831899999999997E-2</v>
      </c>
      <c r="N133" s="1">
        <f t="shared" ca="1" si="21"/>
        <v>1.43E-5</v>
      </c>
      <c r="O133" s="1">
        <f t="shared" ca="1" si="21"/>
        <v>1.4600000000000001E-5</v>
      </c>
      <c r="P133" s="1">
        <f ca="1">SUM(OFFSET($A$127,6,1,1,14))</f>
        <v>1981.3654107</v>
      </c>
      <c r="Q133" s="2">
        <f ca="1">SUM(OFFSET($A$127,6,1,1,12))</f>
        <v>1981.3653818</v>
      </c>
    </row>
    <row r="134" spans="1:17" x14ac:dyDescent="0.2">
      <c r="A134" s="1">
        <v>6</v>
      </c>
      <c r="B134" s="1">
        <f t="shared" ca="1" si="21"/>
        <v>1.1234999999999999E-3</v>
      </c>
      <c r="C134" s="1">
        <f t="shared" ca="1" si="21"/>
        <v>0.10428320000000001</v>
      </c>
      <c r="D134" s="1">
        <f t="shared" ca="1" si="21"/>
        <v>4.2348000000000004E-3</v>
      </c>
      <c r="E134" s="1">
        <f t="shared" ca="1" si="21"/>
        <v>1.6742269999999999</v>
      </c>
      <c r="F134" s="1">
        <f t="shared" ca="1" si="21"/>
        <v>231.0393</v>
      </c>
      <c r="G134" s="1">
        <f t="shared" ca="1" si="21"/>
        <v>1925.7940000000001</v>
      </c>
      <c r="H134" s="1">
        <f t="shared" ca="1" si="21"/>
        <v>0.1667303</v>
      </c>
      <c r="I134" s="1">
        <f t="shared" ca="1" si="21"/>
        <v>2.6867000000000002E-3</v>
      </c>
      <c r="J134" s="1">
        <f t="shared" ca="1" si="21"/>
        <v>25.412880000000001</v>
      </c>
      <c r="K134" s="1">
        <f t="shared" ca="1" si="21"/>
        <v>6.1238000000000004E-3</v>
      </c>
      <c r="L134" s="1">
        <f t="shared" ca="1" si="21"/>
        <v>155.9855</v>
      </c>
      <c r="M134" s="1">
        <f t="shared" ca="1" si="21"/>
        <v>0.74816240000000001</v>
      </c>
      <c r="N134" s="1">
        <f t="shared" ca="1" si="21"/>
        <v>1.19877E-2</v>
      </c>
      <c r="O134" s="1">
        <f t="shared" ca="1" si="21"/>
        <v>1.4359999999999999E-4</v>
      </c>
      <c r="P134" s="1">
        <f ca="1">SUM(OFFSET($A$127,7,1,1,14))</f>
        <v>2340.9513829999996</v>
      </c>
      <c r="Q134" s="2">
        <f ca="1">SUM(OFFSET($A$127,7,1,1,12))</f>
        <v>2340.9392516999997</v>
      </c>
    </row>
    <row r="135" spans="1:17" x14ac:dyDescent="0.2">
      <c r="A135" s="1">
        <v>7</v>
      </c>
      <c r="B135" s="1">
        <f t="shared" ca="1" si="21"/>
        <v>1.9450700000000001E-2</v>
      </c>
      <c r="C135" s="1">
        <f t="shared" ca="1" si="21"/>
        <v>2.5040799999999998E-2</v>
      </c>
      <c r="D135" s="1">
        <f t="shared" ca="1" si="21"/>
        <v>0.51027610000000001</v>
      </c>
      <c r="E135" s="1">
        <f t="shared" ca="1" si="21"/>
        <v>132.41630000000001</v>
      </c>
      <c r="F135" s="1">
        <f t="shared" ca="1" si="21"/>
        <v>80.111999999999995</v>
      </c>
      <c r="G135" s="1">
        <f t="shared" ca="1" si="21"/>
        <v>0.23594899999999999</v>
      </c>
      <c r="H135" s="1">
        <f t="shared" ca="1" si="21"/>
        <v>1157.5999999999999</v>
      </c>
      <c r="I135" s="1">
        <f t="shared" ca="1" si="21"/>
        <v>26.24521</v>
      </c>
      <c r="J135" s="1">
        <f t="shared" ca="1" si="21"/>
        <v>16.85511</v>
      </c>
      <c r="K135" s="1">
        <f t="shared" ca="1" si="21"/>
        <v>9.0828699999999998E-2</v>
      </c>
      <c r="L135" s="1">
        <f t="shared" ca="1" si="21"/>
        <v>2.942E-4</v>
      </c>
      <c r="M135" s="1">
        <f t="shared" ca="1" si="21"/>
        <v>1.6414000000000001E-3</v>
      </c>
      <c r="N135" s="1">
        <f t="shared" ca="1" si="21"/>
        <v>0</v>
      </c>
      <c r="O135" s="1">
        <f t="shared" ca="1" si="21"/>
        <v>4.9999999999999998E-7</v>
      </c>
      <c r="P135" s="1">
        <f ca="1">SUM(OFFSET($A$127,8,1,1,14))</f>
        <v>1414.1121013999998</v>
      </c>
      <c r="Q135" s="2">
        <f ca="1">SUM(OFFSET($A$127,8,1,1,12))</f>
        <v>1414.1121008999999</v>
      </c>
    </row>
    <row r="136" spans="1:17" x14ac:dyDescent="0.2">
      <c r="A136" s="1">
        <v>8</v>
      </c>
      <c r="B136" s="1">
        <f t="shared" ca="1" si="21"/>
        <v>9.5000000000000005E-6</v>
      </c>
      <c r="C136" s="1">
        <f t="shared" ca="1" si="21"/>
        <v>1.041E-4</v>
      </c>
      <c r="D136" s="1">
        <f t="shared" ca="1" si="21"/>
        <v>1.8602E-3</v>
      </c>
      <c r="E136" s="1">
        <f t="shared" ca="1" si="21"/>
        <v>4.7752720000000002</v>
      </c>
      <c r="F136" s="1">
        <f t="shared" ca="1" si="21"/>
        <v>1.248899</v>
      </c>
      <c r="G136" s="1">
        <f t="shared" ca="1" si="21"/>
        <v>5.7650000000000002E-3</v>
      </c>
      <c r="H136" s="1">
        <f t="shared" ca="1" si="21"/>
        <v>37.17033</v>
      </c>
      <c r="I136" s="1">
        <f t="shared" ca="1" si="21"/>
        <v>546.57140000000004</v>
      </c>
      <c r="J136" s="1">
        <f t="shared" ca="1" si="21"/>
        <v>53.990130000000001</v>
      </c>
      <c r="K136" s="1">
        <f t="shared" ca="1" si="21"/>
        <v>1.19126</v>
      </c>
      <c r="L136" s="1">
        <f t="shared" ca="1" si="21"/>
        <v>3.0000000000000001E-6</v>
      </c>
      <c r="M136" s="1">
        <f t="shared" ca="1" si="21"/>
        <v>1.51092E-2</v>
      </c>
      <c r="N136" s="1">
        <f t="shared" ca="1" si="21"/>
        <v>0</v>
      </c>
      <c r="O136" s="1">
        <f t="shared" ca="1" si="21"/>
        <v>5.9999999999999997E-7</v>
      </c>
      <c r="P136" s="1">
        <f ca="1">SUM(OFFSET($A$127,9,1,1,14))</f>
        <v>644.97014260000014</v>
      </c>
      <c r="Q136" s="2">
        <f ca="1">SUM(OFFSET($A$127,9,1,1,12))</f>
        <v>644.97014200000012</v>
      </c>
    </row>
    <row r="137" spans="1:17" x14ac:dyDescent="0.2">
      <c r="A137" s="1">
        <v>9</v>
      </c>
      <c r="B137" s="1">
        <f t="shared" ca="1" si="21"/>
        <v>1.63E-5</v>
      </c>
      <c r="C137" s="1">
        <f t="shared" ca="1" si="21"/>
        <v>1.1982E-3</v>
      </c>
      <c r="D137" s="1">
        <f t="shared" ca="1" si="21"/>
        <v>4.1540000000000001E-4</v>
      </c>
      <c r="E137" s="1">
        <f t="shared" ca="1" si="21"/>
        <v>0.92370470000000005</v>
      </c>
      <c r="F137" s="1">
        <f t="shared" ca="1" si="21"/>
        <v>57.805190000000003</v>
      </c>
      <c r="G137" s="1">
        <f t="shared" ca="1" si="21"/>
        <v>26.411529999999999</v>
      </c>
      <c r="H137" s="1">
        <f t="shared" ca="1" si="21"/>
        <v>12.369859999999999</v>
      </c>
      <c r="I137" s="1">
        <f t="shared" ca="1" si="21"/>
        <v>23.692309999999999</v>
      </c>
      <c r="J137" s="1">
        <f t="shared" ca="1" si="21"/>
        <v>4026.7370000000001</v>
      </c>
      <c r="K137" s="1">
        <f t="shared" ca="1" si="21"/>
        <v>280.31729999999999</v>
      </c>
      <c r="L137" s="1">
        <f t="shared" ca="1" si="21"/>
        <v>7.2158899999999998E-2</v>
      </c>
      <c r="M137" s="1">
        <f t="shared" ca="1" si="21"/>
        <v>349.70420000000001</v>
      </c>
      <c r="N137" s="1">
        <f t="shared" ca="1" si="21"/>
        <v>1.22E-4</v>
      </c>
      <c r="O137" s="1">
        <f t="shared" ca="1" si="21"/>
        <v>0.1380092</v>
      </c>
      <c r="P137" s="1">
        <f ca="1">SUM(OFFSET($A$127,10,1,1,14))</f>
        <v>4778.1730147000007</v>
      </c>
      <c r="Q137" s="2">
        <f ca="1">SUM(OFFSET($A$127,10,1,1,12))</f>
        <v>4778.0348835000004</v>
      </c>
    </row>
    <row r="138" spans="1:17" x14ac:dyDescent="0.2">
      <c r="A138" s="1">
        <v>10</v>
      </c>
      <c r="B138" s="1">
        <f t="shared" ca="1" si="21"/>
        <v>0</v>
      </c>
      <c r="C138" s="1">
        <f t="shared" ca="1" si="21"/>
        <v>5.9999999999999997E-7</v>
      </c>
      <c r="D138" s="1">
        <f t="shared" ca="1" si="21"/>
        <v>1.3999999999999999E-6</v>
      </c>
      <c r="E138" s="1">
        <f t="shared" ca="1" si="21"/>
        <v>6.2423000000000001E-3</v>
      </c>
      <c r="F138" s="1">
        <f t="shared" ca="1" si="21"/>
        <v>4.00072E-2</v>
      </c>
      <c r="G138" s="1">
        <f t="shared" ca="1" si="21"/>
        <v>7.2716999999999999E-3</v>
      </c>
      <c r="H138" s="1">
        <f t="shared" ca="1" si="21"/>
        <v>0.1063586</v>
      </c>
      <c r="I138" s="1">
        <f t="shared" ca="1" si="21"/>
        <v>0.83052499999999996</v>
      </c>
      <c r="J138" s="1">
        <f t="shared" ca="1" si="21"/>
        <v>289.0729</v>
      </c>
      <c r="K138" s="1">
        <f t="shared" ca="1" si="21"/>
        <v>950.02099999999996</v>
      </c>
      <c r="L138" s="1">
        <f t="shared" ca="1" si="21"/>
        <v>6.7399999999999998E-5</v>
      </c>
      <c r="M138" s="1">
        <f t="shared" ca="1" si="21"/>
        <v>68.827280000000002</v>
      </c>
      <c r="N138" s="1">
        <f t="shared" ca="1" si="21"/>
        <v>8.9999999999999996E-7</v>
      </c>
      <c r="O138" s="1">
        <f t="shared" ca="1" si="21"/>
        <v>2.3235E-3</v>
      </c>
      <c r="P138" s="1">
        <f ca="1">SUM(OFFSET($A$127,11,1,1,14))</f>
        <v>1308.9139786000001</v>
      </c>
      <c r="Q138" s="2">
        <f ca="1">SUM(OFFSET($A$127,11,1,1,12))</f>
        <v>1308.9116541999999</v>
      </c>
    </row>
    <row r="139" spans="1:17" x14ac:dyDescent="0.2">
      <c r="A139" s="1">
        <v>11</v>
      </c>
      <c r="B139" s="1">
        <f t="shared" ca="1" si="21"/>
        <v>3.9999999999999998E-7</v>
      </c>
      <c r="C139" s="1">
        <f t="shared" ca="1" si="21"/>
        <v>2.6100000000000001E-5</v>
      </c>
      <c r="D139" s="1">
        <f t="shared" ca="1" si="21"/>
        <v>1.7999999999999999E-6</v>
      </c>
      <c r="E139" s="1">
        <f t="shared" ca="1" si="21"/>
        <v>1.1172000000000001E-3</v>
      </c>
      <c r="F139" s="1">
        <f t="shared" ca="1" si="21"/>
        <v>0.16469159999999999</v>
      </c>
      <c r="G139" s="1">
        <f t="shared" ca="1" si="21"/>
        <v>186.51140000000001</v>
      </c>
      <c r="H139" s="1">
        <f t="shared" ca="1" si="21"/>
        <v>3.4440000000000002E-4</v>
      </c>
      <c r="I139" s="1">
        <f t="shared" ca="1" si="21"/>
        <v>2.3999999999999999E-6</v>
      </c>
      <c r="J139" s="1">
        <f t="shared" ca="1" si="21"/>
        <v>8.5437600000000002E-2</v>
      </c>
      <c r="K139" s="1">
        <f t="shared" ca="1" si="21"/>
        <v>5.5399999999999998E-5</v>
      </c>
      <c r="L139" s="1">
        <f t="shared" ca="1" si="21"/>
        <v>1168.2139999999999</v>
      </c>
      <c r="M139" s="1">
        <f t="shared" ca="1" si="21"/>
        <v>0.43438680000000002</v>
      </c>
      <c r="N139" s="1">
        <f t="shared" ca="1" si="21"/>
        <v>66.646709999999999</v>
      </c>
      <c r="O139" s="1">
        <f t="shared" ca="1" si="21"/>
        <v>0.2101045</v>
      </c>
      <c r="P139" s="1">
        <f ca="1">SUM(OFFSET($A$127,12,1,1,14))</f>
        <v>1422.2682781999999</v>
      </c>
      <c r="Q139" s="2">
        <f ca="1">SUM(OFFSET($A$127,12,1,1,12))</f>
        <v>1355.4114637</v>
      </c>
    </row>
    <row r="140" spans="1:17" x14ac:dyDescent="0.2">
      <c r="A140" s="1">
        <v>12</v>
      </c>
      <c r="B140" s="1">
        <f t="shared" ca="1" si="21"/>
        <v>9.9999999999999995E-8</v>
      </c>
      <c r="C140" s="1">
        <f t="shared" ca="1" si="21"/>
        <v>7.7000000000000008E-6</v>
      </c>
      <c r="D140" s="1">
        <f t="shared" ca="1" si="21"/>
        <v>4.9999999999999998E-7</v>
      </c>
      <c r="E140" s="1">
        <f t="shared" ca="1" si="21"/>
        <v>1.984E-4</v>
      </c>
      <c r="F140" s="1">
        <f t="shared" ca="1" si="21"/>
        <v>5.4225799999999998E-2</v>
      </c>
      <c r="G140" s="1">
        <f t="shared" ca="1" si="21"/>
        <v>0.92214390000000002</v>
      </c>
      <c r="H140" s="1">
        <f t="shared" ca="1" si="21"/>
        <v>1.7248000000000001E-3</v>
      </c>
      <c r="I140" s="1">
        <f t="shared" ca="1" si="21"/>
        <v>1.05898E-2</v>
      </c>
      <c r="J140" s="1">
        <f t="shared" ca="1" si="21"/>
        <v>344.4975</v>
      </c>
      <c r="K140" s="1">
        <f t="shared" ca="1" si="21"/>
        <v>66.014529999999993</v>
      </c>
      <c r="L140" s="1">
        <f t="shared" ca="1" si="21"/>
        <v>0.45062069999999999</v>
      </c>
      <c r="M140" s="1">
        <f t="shared" ca="1" si="21"/>
        <v>4847.93</v>
      </c>
      <c r="N140" s="1">
        <f t="shared" ca="1" si="21"/>
        <v>0.13133439999999999</v>
      </c>
      <c r="O140" s="1">
        <f t="shared" ca="1" si="21"/>
        <v>191.75899999999999</v>
      </c>
      <c r="P140" s="1">
        <f ca="1">SUM(OFFSET($A$127,13,1,1,14))</f>
        <v>5451.7718761000006</v>
      </c>
      <c r="Q140" s="2">
        <f ca="1">SUM(OFFSET($A$127,13,1,1,12))</f>
        <v>5259.8815417000005</v>
      </c>
    </row>
    <row r="141" spans="1:17" x14ac:dyDescent="0.2">
      <c r="A141" s="1">
        <v>13</v>
      </c>
      <c r="B141" s="1">
        <f t="shared" ca="1" si="21"/>
        <v>0</v>
      </c>
      <c r="C141" s="1">
        <f t="shared" ca="1" si="21"/>
        <v>0</v>
      </c>
      <c r="D141" s="1">
        <f t="shared" ca="1" si="21"/>
        <v>0</v>
      </c>
      <c r="E141" s="1">
        <f t="shared" ca="1" si="21"/>
        <v>9.9999999999999995E-8</v>
      </c>
      <c r="F141" s="1">
        <f t="shared" ca="1" si="21"/>
        <v>3.04E-5</v>
      </c>
      <c r="G141" s="1">
        <f t="shared" ca="1" si="21"/>
        <v>1.7824699999999999E-2</v>
      </c>
      <c r="H141" s="1">
        <f t="shared" ca="1" si="21"/>
        <v>0</v>
      </c>
      <c r="I141" s="1">
        <f t="shared" ca="1" si="21"/>
        <v>0</v>
      </c>
      <c r="J141" s="1">
        <f t="shared" ca="1" si="21"/>
        <v>1.1519999999999999E-4</v>
      </c>
      <c r="K141" s="1">
        <f t="shared" ca="1" si="21"/>
        <v>6.9999999999999997E-7</v>
      </c>
      <c r="L141" s="1">
        <f t="shared" ca="1" si="21"/>
        <v>71.431629999999998</v>
      </c>
      <c r="M141" s="1">
        <f t="shared" ca="1" si="21"/>
        <v>0.1078042</v>
      </c>
      <c r="N141" s="1">
        <f t="shared" ca="1" si="21"/>
        <v>2266.3580000000002</v>
      </c>
      <c r="O141" s="1">
        <f t="shared" ca="1" si="21"/>
        <v>226.1003</v>
      </c>
      <c r="P141" s="1">
        <f ca="1">SUM(OFFSET($A$127,14,1,1,14))</f>
        <v>2564.0157053000003</v>
      </c>
      <c r="Q141" s="2">
        <f ca="1">SUM(OFFSET($A$127,14,1,1,12))</f>
        <v>71.557405299999999</v>
      </c>
    </row>
    <row r="142" spans="1:17" x14ac:dyDescent="0.2">
      <c r="A142" s="1">
        <v>14</v>
      </c>
      <c r="B142" s="1">
        <f t="shared" ca="1" si="21"/>
        <v>0</v>
      </c>
      <c r="C142" s="1">
        <f t="shared" ca="1" si="21"/>
        <v>0</v>
      </c>
      <c r="D142" s="1">
        <f t="shared" ca="1" si="21"/>
        <v>0</v>
      </c>
      <c r="E142" s="1">
        <f t="shared" ca="1" si="21"/>
        <v>1.9999999999999999E-7</v>
      </c>
      <c r="F142" s="1">
        <f t="shared" ca="1" si="21"/>
        <v>2.9300000000000001E-5</v>
      </c>
      <c r="G142" s="1">
        <f t="shared" ca="1" si="21"/>
        <v>2.184E-4</v>
      </c>
      <c r="H142" s="1">
        <f t="shared" ca="1" si="21"/>
        <v>5.9999999999999997E-7</v>
      </c>
      <c r="I142" s="1">
        <f t="shared" ca="1" si="21"/>
        <v>5.9999999999999997E-7</v>
      </c>
      <c r="J142" s="1">
        <f t="shared" ca="1" si="21"/>
        <v>0.16699059999999999</v>
      </c>
      <c r="K142" s="1">
        <f t="shared" ca="1" si="21"/>
        <v>2.3495E-3</v>
      </c>
      <c r="L142" s="1">
        <f t="shared" ca="1" si="21"/>
        <v>0.2187549</v>
      </c>
      <c r="M142" s="1">
        <f t="shared" ca="1" si="21"/>
        <v>218.62970000000001</v>
      </c>
      <c r="N142" s="1">
        <f t="shared" ca="1" si="21"/>
        <v>250.11600000000001</v>
      </c>
      <c r="O142" s="1">
        <f t="shared" ca="1" si="21"/>
        <v>8958.2800000000007</v>
      </c>
      <c r="P142" s="1">
        <f ca="1">SUM(OFFSET($A$127,15,1,1,14))</f>
        <v>9427.4140441</v>
      </c>
      <c r="Q142" s="2">
        <f ca="1">SUM(OFFSET($A$127,15,1,1,12))</f>
        <v>219.01804410000003</v>
      </c>
    </row>
    <row r="143" spans="1:17" x14ac:dyDescent="0.2">
      <c r="A143" s="1" t="s">
        <v>43</v>
      </c>
      <c r="B143" s="1">
        <f ca="1">SUM(OFFSET($A$127,2,1,14,1))</f>
        <v>882.75898629999983</v>
      </c>
      <c r="C143" s="1">
        <f ca="1">SUM(OFFSET($A$127,2,2,14,1))</f>
        <v>1282.5522507000001</v>
      </c>
      <c r="D143" s="1">
        <f ca="1">SUM(OFFSET($A$127,2,3,14,1))</f>
        <v>445.56987320000002</v>
      </c>
      <c r="E143" s="1">
        <f ca="1">SUM(OFFSET($A$127,2,4,14,1))</f>
        <v>5183.4271718999998</v>
      </c>
      <c r="F143" s="1">
        <f ca="1">SUM(OFFSET($A$127,2,5,14,1))</f>
        <v>2419.2585243000003</v>
      </c>
      <c r="G143" s="1">
        <f ca="1">SUM(OFFSET($A$127,2,6,14,1))</f>
        <v>2344.5637250999989</v>
      </c>
      <c r="H143" s="1">
        <f ca="1">SUM(OFFSET($A$127,2,7,14,1))</f>
        <v>1531.2834665999997</v>
      </c>
      <c r="I143" s="1">
        <f ca="1">SUM(OFFSET($A$127,2,8,14,1))</f>
        <v>605.50156790000005</v>
      </c>
      <c r="J143" s="1">
        <f ca="1">SUM(OFFSET($A$127,2,9,14,1))</f>
        <v>4795.5010166000002</v>
      </c>
      <c r="K143" s="1">
        <f ca="1">SUM(OFFSET($A$127,2,10,14,1))</f>
        <v>1297.6850503000001</v>
      </c>
      <c r="L143" s="1">
        <f ca="1">SUM(OFFSET($A$127,2,11,14,1))</f>
        <v>1396.4626220999999</v>
      </c>
      <c r="M143" s="1">
        <f ca="1">SUM(OFFSET($A$127,2,12,14,1))</f>
        <v>5486.4313999000005</v>
      </c>
      <c r="N143" s="1">
        <f ca="1">SUM(OFFSET($A$127,2,13,14,1))</f>
        <v>2583.2641694000004</v>
      </c>
      <c r="O143" s="1">
        <f ca="1">SUM(OFFSET($A$127,2,14,14,1))</f>
        <v>9376.4898968000016</v>
      </c>
      <c r="P143" s="1">
        <f ca="1">SUM(OFFSET($A$127,16,1,1,14))</f>
        <v>39630.749721100001</v>
      </c>
      <c r="Q143" s="2">
        <f ca="1">SUM(OFFSET($A$127,16,1,1,12))</f>
        <v>27670.995654899998</v>
      </c>
    </row>
    <row r="144" spans="1:17" x14ac:dyDescent="0.2">
      <c r="O144" s="11" t="s">
        <v>59</v>
      </c>
      <c r="P144" s="1">
        <f ca="1">SUM(B129:M140)</f>
        <v>27380.420205500002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4"/>
  <sheetViews>
    <sheetView zoomScale="115" zoomScaleNormal="115" workbookViewId="0">
      <selection sqref="A1:XFD1048576"/>
    </sheetView>
  </sheetViews>
  <sheetFormatPr defaultColWidth="6.28515625" defaultRowHeight="11.25" x14ac:dyDescent="0.2"/>
  <cols>
    <col min="1" max="9" width="6.28515625" style="1"/>
    <col min="10" max="10" width="6.28515625" style="1" customWidth="1"/>
    <col min="11" max="15" width="6.28515625" style="1"/>
    <col min="16" max="16" width="7.7109375" style="1" customWidth="1"/>
    <col min="17" max="17" width="7.7109375" style="2" customWidth="1"/>
    <col min="18" max="18" width="40.7109375" style="1" customWidth="1"/>
    <col min="19" max="20" width="6.28515625" style="1" customWidth="1"/>
    <col min="21" max="21" width="6.28515625" style="1"/>
    <col min="22" max="22" width="6.28515625" style="1" customWidth="1"/>
    <col min="23" max="16384" width="6.28515625" style="1"/>
  </cols>
  <sheetData>
    <row r="1" spans="1:20" x14ac:dyDescent="0.2">
      <c r="A1" s="1" t="s">
        <v>87</v>
      </c>
    </row>
    <row r="2" spans="1:20" x14ac:dyDescent="0.2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 t="s">
        <v>43</v>
      </c>
      <c r="Q2" s="2" t="s">
        <v>61</v>
      </c>
      <c r="R2" s="1" t="s">
        <v>86</v>
      </c>
      <c r="S2" s="1">
        <f ca="1">OFFSET(A1,16,15)</f>
        <v>1039319.818313</v>
      </c>
      <c r="T2" s="1">
        <f ca="1">OFFSET(A1,17,15)</f>
        <v>903691.49225999997</v>
      </c>
    </row>
    <row r="3" spans="1:20" x14ac:dyDescent="0.2">
      <c r="A3" s="1">
        <v>1</v>
      </c>
      <c r="B3" s="1">
        <v>3045.28</v>
      </c>
      <c r="C3" s="1">
        <v>3315.8380000000002</v>
      </c>
      <c r="D3" s="1">
        <v>1930.32</v>
      </c>
      <c r="E3" s="1">
        <v>1932.729</v>
      </c>
      <c r="F3" s="1">
        <v>1207.2360000000001</v>
      </c>
      <c r="G3" s="1">
        <v>320.89699999999999</v>
      </c>
      <c r="H3" s="1">
        <v>432.02640000000002</v>
      </c>
      <c r="I3" s="1">
        <v>66.393900000000002</v>
      </c>
      <c r="J3" s="1">
        <v>360.02429999999998</v>
      </c>
      <c r="K3" s="1">
        <v>17.2363</v>
      </c>
      <c r="L3" s="1">
        <v>103.25069999999999</v>
      </c>
      <c r="M3" s="1">
        <v>41.322830000000003</v>
      </c>
      <c r="N3" s="1">
        <v>10.253399999999999</v>
      </c>
      <c r="O3" s="1">
        <v>24.882750000000001</v>
      </c>
      <c r="P3" s="1">
        <f ca="1">SUM(OFFSET($A$1,2,1,1,14))</f>
        <v>12807.69058</v>
      </c>
      <c r="Q3" s="2">
        <f ca="1">SUM(OFFSET($A$1,2,1,1,12))</f>
        <v>12772.55443</v>
      </c>
      <c r="R3" s="1" t="s">
        <v>88</v>
      </c>
      <c r="S3" s="1">
        <f ca="1">OFFSET(A1,34,15)</f>
        <v>150607.331684</v>
      </c>
      <c r="T3" s="1">
        <f ca="1">OFFSET(A1,35,15)</f>
        <v>131461.50869199997</v>
      </c>
    </row>
    <row r="4" spans="1:20" x14ac:dyDescent="0.2">
      <c r="A4" s="1">
        <v>2</v>
      </c>
      <c r="B4" s="1">
        <v>3314.826</v>
      </c>
      <c r="C4" s="1">
        <v>20285.22</v>
      </c>
      <c r="D4" s="1">
        <v>4128.2669999999998</v>
      </c>
      <c r="E4" s="1">
        <v>7668.2719999999999</v>
      </c>
      <c r="F4" s="1">
        <v>6463.8339999999998</v>
      </c>
      <c r="G4" s="1">
        <v>1929.58</v>
      </c>
      <c r="H4" s="1">
        <v>1335.9090000000001</v>
      </c>
      <c r="I4" s="1">
        <v>301.8886</v>
      </c>
      <c r="J4" s="1">
        <v>1753.0119999999999</v>
      </c>
      <c r="K4" s="1">
        <v>164.0712</v>
      </c>
      <c r="L4" s="1">
        <v>473.04759999999999</v>
      </c>
      <c r="M4" s="1">
        <v>276.28059999999999</v>
      </c>
      <c r="N4" s="1">
        <v>25.66413</v>
      </c>
      <c r="O4" s="1">
        <v>83.287670000000006</v>
      </c>
      <c r="P4" s="1">
        <f ca="1">SUM(OFFSET($A$1,3,1,1,14))</f>
        <v>48203.159799999994</v>
      </c>
      <c r="Q4" s="2">
        <f ca="1">SUM(OFFSET($A$1,3,1,1,12))</f>
        <v>48094.207999999999</v>
      </c>
      <c r="R4" s="1" t="s">
        <v>90</v>
      </c>
      <c r="S4" s="1">
        <f ca="1">OFFSET(A1,52,15)</f>
        <v>30833.884244599998</v>
      </c>
      <c r="T4" s="1">
        <f ca="1">OFFSET(A1,53,15)</f>
        <v>26732.653098300008</v>
      </c>
    </row>
    <row r="5" spans="1:20" x14ac:dyDescent="0.2">
      <c r="A5" s="1">
        <v>3</v>
      </c>
      <c r="B5" s="1">
        <v>2996.0880000000002</v>
      </c>
      <c r="C5" s="1">
        <v>6579.2759999999998</v>
      </c>
      <c r="D5" s="1">
        <v>5874.2809999999999</v>
      </c>
      <c r="E5" s="1">
        <v>21403.66</v>
      </c>
      <c r="F5" s="1">
        <v>9994.884</v>
      </c>
      <c r="G5" s="1">
        <v>6157.3760000000002</v>
      </c>
      <c r="H5" s="1">
        <v>5932.5</v>
      </c>
      <c r="I5" s="1">
        <v>1270.2729999999999</v>
      </c>
      <c r="J5" s="1">
        <v>7143.67</v>
      </c>
      <c r="K5" s="1">
        <v>1218.7760000000001</v>
      </c>
      <c r="L5" s="1">
        <v>1278.367</v>
      </c>
      <c r="M5" s="1">
        <v>961.7192</v>
      </c>
      <c r="N5" s="1">
        <v>180.96109999999999</v>
      </c>
      <c r="O5" s="1">
        <v>438.82600000000002</v>
      </c>
      <c r="P5" s="1">
        <f ca="1">SUM(OFFSET($A$1,4,1,1,14))</f>
        <v>71430.657300000006</v>
      </c>
      <c r="Q5" s="2">
        <f ca="1">SUM(OFFSET($A$1,4,1,1,12))</f>
        <v>70810.870200000005</v>
      </c>
      <c r="R5" s="1" t="s">
        <v>92</v>
      </c>
      <c r="S5" s="1">
        <f ca="1">OFFSET(A1,70,15)</f>
        <v>124283.3714337</v>
      </c>
      <c r="T5" s="1">
        <f ca="1">OFFSET(A1,71,15)</f>
        <v>120727.12195699998</v>
      </c>
    </row>
    <row r="6" spans="1:20" x14ac:dyDescent="0.2">
      <c r="A6" s="1">
        <v>4</v>
      </c>
      <c r="B6" s="1">
        <v>1940.905</v>
      </c>
      <c r="C6" s="1">
        <v>7791.8509999999997</v>
      </c>
      <c r="D6" s="1">
        <v>11197.34</v>
      </c>
      <c r="E6" s="1">
        <v>74157.490000000005</v>
      </c>
      <c r="F6" s="1">
        <v>24752.37</v>
      </c>
      <c r="G6" s="1">
        <v>7325.9690000000001</v>
      </c>
      <c r="H6" s="1">
        <v>18262.150000000001</v>
      </c>
      <c r="I6" s="1">
        <v>2582.377</v>
      </c>
      <c r="J6" s="1">
        <v>12248.24</v>
      </c>
      <c r="K6" s="1">
        <v>1577.3150000000001</v>
      </c>
      <c r="L6" s="1">
        <v>1630.171</v>
      </c>
      <c r="M6" s="1">
        <v>1576.11</v>
      </c>
      <c r="N6" s="1">
        <v>147.88229999999999</v>
      </c>
      <c r="O6" s="1">
        <v>554.65710000000001</v>
      </c>
      <c r="P6" s="1">
        <f ca="1">SUM(OFFSET($A$1,5,1,1,14))</f>
        <v>165744.82740000001</v>
      </c>
      <c r="Q6" s="2">
        <f ca="1">SUM(OFFSET($A$1,5,1,1,12))</f>
        <v>165042.288</v>
      </c>
      <c r="R6" s="1" t="s">
        <v>94</v>
      </c>
      <c r="S6" s="1">
        <f ca="1">OFFSET(A1,88,15)</f>
        <v>183945.62114280002</v>
      </c>
      <c r="T6" s="1">
        <f ca="1">OFFSET(A1,89,15)</f>
        <v>183413.14848019992</v>
      </c>
    </row>
    <row r="7" spans="1:20" x14ac:dyDescent="0.2">
      <c r="A7" s="1">
        <v>5</v>
      </c>
      <c r="B7" s="1">
        <v>1188.048</v>
      </c>
      <c r="C7" s="1">
        <v>6395.9629999999997</v>
      </c>
      <c r="D7" s="1">
        <v>5530.4539999999997</v>
      </c>
      <c r="E7" s="1">
        <v>24363.119999999999</v>
      </c>
      <c r="F7" s="1">
        <v>39334.94</v>
      </c>
      <c r="G7" s="1">
        <v>15511.74</v>
      </c>
      <c r="H7" s="1">
        <v>7950.7669999999998</v>
      </c>
      <c r="I7" s="1">
        <v>2930.527</v>
      </c>
      <c r="J7" s="1">
        <v>16730.89</v>
      </c>
      <c r="K7" s="1">
        <v>1781.441</v>
      </c>
      <c r="L7" s="1">
        <v>3422.277</v>
      </c>
      <c r="M7" s="1">
        <v>3099.759</v>
      </c>
      <c r="N7" s="1">
        <v>311.0367</v>
      </c>
      <c r="O7" s="1">
        <v>1703.712</v>
      </c>
      <c r="P7" s="1">
        <f ca="1">SUM(OFFSET($A$1,6,1,1,14))</f>
        <v>130254.67470000002</v>
      </c>
      <c r="Q7" s="2">
        <f ca="1">SUM(OFFSET($A$1,6,1,1,12))</f>
        <v>128239.92600000002</v>
      </c>
      <c r="R7" s="1" t="s">
        <v>96</v>
      </c>
      <c r="S7" s="1">
        <f ca="1">OFFSET(A1,106,15)</f>
        <v>74270.237002499998</v>
      </c>
      <c r="T7" s="1">
        <f ca="1">OFFSET(A1,107,15)</f>
        <v>70618.651729299992</v>
      </c>
    </row>
    <row r="8" spans="1:20" x14ac:dyDescent="0.2">
      <c r="A8" s="1">
        <v>6</v>
      </c>
      <c r="B8" s="1">
        <v>311.56630000000001</v>
      </c>
      <c r="C8" s="1">
        <v>1854.1110000000001</v>
      </c>
      <c r="D8" s="1">
        <v>3313.355</v>
      </c>
      <c r="E8" s="1">
        <v>6924.2290000000003</v>
      </c>
      <c r="F8" s="1">
        <v>15414.97</v>
      </c>
      <c r="G8" s="1">
        <v>28971.3</v>
      </c>
      <c r="H8" s="1">
        <v>2026.6969999999999</v>
      </c>
      <c r="I8" s="1">
        <v>994.34119999999996</v>
      </c>
      <c r="J8" s="1">
        <v>6839.6350000000002</v>
      </c>
      <c r="K8" s="1">
        <v>647.56150000000002</v>
      </c>
      <c r="L8" s="1">
        <v>6335.3239999999996</v>
      </c>
      <c r="M8" s="1">
        <v>2201.2979999999998</v>
      </c>
      <c r="N8" s="1">
        <v>756.42150000000004</v>
      </c>
      <c r="O8" s="1">
        <v>1218.0450000000001</v>
      </c>
      <c r="P8" s="1">
        <f ca="1">SUM(OFFSET($A$1,7,1,1,14))</f>
        <v>77808.854499999987</v>
      </c>
      <c r="Q8" s="2">
        <f ca="1">SUM(OFFSET($A$1,7,1,1,12))</f>
        <v>75834.387999999992</v>
      </c>
      <c r="R8" s="1" t="s">
        <v>98</v>
      </c>
      <c r="S8" s="1">
        <f ca="1">OFFSET(A1,124,15)</f>
        <v>43785.991874299987</v>
      </c>
      <c r="T8" s="1">
        <f ca="1">OFFSET(A1,125,15)</f>
        <v>42314.479101799996</v>
      </c>
    </row>
    <row r="9" spans="1:20" x14ac:dyDescent="0.2">
      <c r="A9" s="1">
        <v>7</v>
      </c>
      <c r="B9" s="1">
        <v>427.04989999999998</v>
      </c>
      <c r="C9" s="1">
        <v>1329.8140000000001</v>
      </c>
      <c r="D9" s="1">
        <v>3672.056</v>
      </c>
      <c r="E9" s="1">
        <v>18350.09</v>
      </c>
      <c r="F9" s="1">
        <v>7997.1819999999998</v>
      </c>
      <c r="G9" s="1">
        <v>2069.982</v>
      </c>
      <c r="H9" s="1">
        <v>37669.72</v>
      </c>
      <c r="I9" s="1">
        <v>4701.5140000000001</v>
      </c>
      <c r="J9" s="1">
        <v>10925.34</v>
      </c>
      <c r="K9" s="1">
        <v>2526.058</v>
      </c>
      <c r="L9" s="1">
        <v>566.7423</v>
      </c>
      <c r="M9" s="1">
        <v>1359.4880000000001</v>
      </c>
      <c r="N9" s="1">
        <v>53.06897</v>
      </c>
      <c r="O9" s="1">
        <v>318.50310000000002</v>
      </c>
      <c r="P9" s="1">
        <f ca="1">SUM(OFFSET($A$1,8,1,1,14))</f>
        <v>91966.608269999982</v>
      </c>
      <c r="Q9" s="2">
        <f ca="1">SUM(OFFSET($A$1,8,1,1,12))</f>
        <v>91595.036199999988</v>
      </c>
      <c r="R9" s="1" t="s">
        <v>100</v>
      </c>
      <c r="S9" s="1">
        <f ca="1">OFFSET(A1,142,15)</f>
        <v>0</v>
      </c>
      <c r="T9" s="1">
        <f ca="1">OFFSET(A1,143,15)</f>
        <v>0</v>
      </c>
    </row>
    <row r="10" spans="1:20" x14ac:dyDescent="0.2">
      <c r="A10" s="1">
        <v>8</v>
      </c>
      <c r="B10" s="1">
        <v>64.077269999999999</v>
      </c>
      <c r="C10" s="1">
        <v>292.16840000000002</v>
      </c>
      <c r="D10" s="1">
        <v>786.94809999999995</v>
      </c>
      <c r="E10" s="1">
        <v>2431.317</v>
      </c>
      <c r="F10" s="1">
        <v>2811.558</v>
      </c>
      <c r="G10" s="1">
        <v>969.64189999999996</v>
      </c>
      <c r="H10" s="1">
        <v>4589.0429999999997</v>
      </c>
      <c r="I10" s="1">
        <v>7680.03</v>
      </c>
      <c r="J10" s="1">
        <v>8384.3819999999996</v>
      </c>
      <c r="K10" s="1">
        <v>1403.922</v>
      </c>
      <c r="L10" s="1">
        <v>317.16500000000002</v>
      </c>
      <c r="M10" s="1">
        <v>1301.2339999999999</v>
      </c>
      <c r="N10" s="1">
        <v>59.44417</v>
      </c>
      <c r="O10" s="1">
        <v>259.61259999999999</v>
      </c>
      <c r="P10" s="1">
        <f ca="1">SUM(OFFSET($A$1,9,1,1,14))</f>
        <v>31350.543439999994</v>
      </c>
      <c r="Q10" s="2">
        <f ca="1">SUM(OFFSET($A$1,9,1,1,12))</f>
        <v>31031.486669999995</v>
      </c>
    </row>
    <row r="11" spans="1:20" x14ac:dyDescent="0.2">
      <c r="A11" s="1">
        <v>9</v>
      </c>
      <c r="B11" s="1">
        <v>351.697</v>
      </c>
      <c r="C11" s="1">
        <v>1707.989</v>
      </c>
      <c r="D11" s="1">
        <v>3995.9090000000001</v>
      </c>
      <c r="E11" s="1">
        <v>11799.8</v>
      </c>
      <c r="F11" s="1">
        <v>16542.78</v>
      </c>
      <c r="G11" s="1">
        <v>6808.7979999999998</v>
      </c>
      <c r="H11" s="1">
        <v>10846.98</v>
      </c>
      <c r="I11" s="1">
        <v>8562.3389999999999</v>
      </c>
      <c r="J11" s="1">
        <v>75085.850000000006</v>
      </c>
      <c r="K11" s="1">
        <v>9056.7929999999997</v>
      </c>
      <c r="L11" s="1">
        <v>2840.0839999999998</v>
      </c>
      <c r="M11" s="1">
        <v>16195.88</v>
      </c>
      <c r="N11" s="1">
        <v>528.94970000000001</v>
      </c>
      <c r="O11" s="1">
        <v>4575.3580000000002</v>
      </c>
      <c r="P11" s="1">
        <f ca="1">SUM(OFFSET($A$1,10,1,1,14))</f>
        <v>168899.20670000004</v>
      </c>
      <c r="Q11" s="2">
        <f ca="1">SUM(OFFSET($A$1,10,1,1,12))</f>
        <v>163794.89900000003</v>
      </c>
    </row>
    <row r="12" spans="1:20" x14ac:dyDescent="0.2">
      <c r="A12" s="1">
        <v>10</v>
      </c>
      <c r="B12" s="1">
        <v>16.596720000000001</v>
      </c>
      <c r="C12" s="1">
        <v>157.892</v>
      </c>
      <c r="D12" s="1">
        <v>717.36490000000003</v>
      </c>
      <c r="E12" s="1">
        <v>1501.25</v>
      </c>
      <c r="F12" s="1">
        <v>1713.0940000000001</v>
      </c>
      <c r="G12" s="1">
        <v>632.27009999999996</v>
      </c>
      <c r="H12" s="1">
        <v>2484.317</v>
      </c>
      <c r="I12" s="1">
        <v>1401.9490000000001</v>
      </c>
      <c r="J12" s="1">
        <v>8866.2669999999998</v>
      </c>
      <c r="K12" s="1">
        <v>9505.6309999999994</v>
      </c>
      <c r="L12" s="1">
        <v>287.37110000000001</v>
      </c>
      <c r="M12" s="1">
        <v>3273.7130000000002</v>
      </c>
      <c r="N12" s="1">
        <v>50.760449999999999</v>
      </c>
      <c r="O12" s="1">
        <v>812.77290000000005</v>
      </c>
      <c r="P12" s="1">
        <f ca="1">SUM(OFFSET($A$1,11,1,1,14))</f>
        <v>31421.249169999999</v>
      </c>
      <c r="Q12" s="2">
        <f ca="1">SUM(OFFSET($A$1,11,1,1,12))</f>
        <v>30557.715819999998</v>
      </c>
    </row>
    <row r="13" spans="1:20" x14ac:dyDescent="0.2">
      <c r="A13" s="1">
        <v>11</v>
      </c>
      <c r="B13" s="1">
        <v>99.606830000000002</v>
      </c>
      <c r="C13" s="1">
        <v>451.62569999999999</v>
      </c>
      <c r="D13" s="1">
        <v>723.28150000000005</v>
      </c>
      <c r="E13" s="1">
        <v>1512.0319999999999</v>
      </c>
      <c r="F13" s="1">
        <v>3406.0120000000002</v>
      </c>
      <c r="G13" s="1">
        <v>5871.7730000000001</v>
      </c>
      <c r="H13" s="1">
        <v>549.31719999999996</v>
      </c>
      <c r="I13" s="1">
        <v>321.98259999999999</v>
      </c>
      <c r="J13" s="1">
        <v>2789.8429999999998</v>
      </c>
      <c r="K13" s="1">
        <v>284.86630000000002</v>
      </c>
      <c r="L13" s="1">
        <v>11830.96</v>
      </c>
      <c r="M13" s="1">
        <v>1838.2049999999999</v>
      </c>
      <c r="N13" s="1">
        <v>1242.894</v>
      </c>
      <c r="O13" s="1">
        <v>1442.067</v>
      </c>
      <c r="P13" s="1">
        <f ca="1">SUM(OFFSET($A$1,12,1,1,14))</f>
        <v>32364.466129999997</v>
      </c>
      <c r="Q13" s="2">
        <f ca="1">SUM(OFFSET($A$1,12,1,1,12))</f>
        <v>29679.505129999998</v>
      </c>
    </row>
    <row r="14" spans="1:20" x14ac:dyDescent="0.2">
      <c r="A14" s="1">
        <v>12</v>
      </c>
      <c r="B14" s="1">
        <v>40.877310000000001</v>
      </c>
      <c r="C14" s="1">
        <v>270.00060000000002</v>
      </c>
      <c r="D14" s="1">
        <v>605.54690000000005</v>
      </c>
      <c r="E14" s="1">
        <v>1494.171</v>
      </c>
      <c r="F14" s="1">
        <v>3046.5070000000001</v>
      </c>
      <c r="G14" s="1">
        <v>2162.0039999999999</v>
      </c>
      <c r="H14" s="1">
        <v>1345.566</v>
      </c>
      <c r="I14" s="1">
        <v>1321.77</v>
      </c>
      <c r="J14" s="1">
        <v>16067.9</v>
      </c>
      <c r="K14" s="1">
        <v>3294.7849999999999</v>
      </c>
      <c r="L14" s="1">
        <v>1848.037</v>
      </c>
      <c r="M14" s="1">
        <v>24741.45</v>
      </c>
      <c r="N14" s="1">
        <v>1131.654</v>
      </c>
      <c r="O14" s="1">
        <v>7892.6329999999998</v>
      </c>
      <c r="P14" s="1">
        <f ca="1">SUM(OFFSET($A$1,13,1,1,14))</f>
        <v>65262.901810000003</v>
      </c>
      <c r="Q14" s="2">
        <f ca="1">SUM(OFFSET($A$1,13,1,1,12))</f>
        <v>56238.614809999999</v>
      </c>
    </row>
    <row r="15" spans="1:20" x14ac:dyDescent="0.2">
      <c r="A15" s="1">
        <v>13</v>
      </c>
      <c r="B15" s="1">
        <v>9.5849030000000006</v>
      </c>
      <c r="C15" s="1">
        <v>23.689080000000001</v>
      </c>
      <c r="D15" s="1">
        <v>93.50076</v>
      </c>
      <c r="E15" s="1">
        <v>126.61</v>
      </c>
      <c r="F15" s="1">
        <v>285.18079999999998</v>
      </c>
      <c r="G15" s="1">
        <v>684.0489</v>
      </c>
      <c r="H15" s="1">
        <v>49.643790000000003</v>
      </c>
      <c r="I15" s="1">
        <v>58.556690000000003</v>
      </c>
      <c r="J15" s="1">
        <v>500.05549999999999</v>
      </c>
      <c r="K15" s="1">
        <v>50.447870000000002</v>
      </c>
      <c r="L15" s="1">
        <v>1176.865</v>
      </c>
      <c r="M15" s="1">
        <v>1106.452</v>
      </c>
      <c r="N15" s="1">
        <v>7363.5559999999996</v>
      </c>
      <c r="O15" s="1">
        <v>5185.5280000000002</v>
      </c>
      <c r="P15" s="1">
        <f ca="1">SUM(OFFSET($A$1,14,1,1,14))</f>
        <v>16713.719293000002</v>
      </c>
      <c r="Q15" s="2">
        <f ca="1">SUM(OFFSET($A$1,14,1,1,12))</f>
        <v>4164.6352930000003</v>
      </c>
    </row>
    <row r="16" spans="1:20" x14ac:dyDescent="0.2">
      <c r="A16" s="1">
        <v>14</v>
      </c>
      <c r="B16" s="1">
        <v>24.59553</v>
      </c>
      <c r="C16" s="1">
        <v>81.163889999999995</v>
      </c>
      <c r="D16" s="1">
        <v>280.17880000000002</v>
      </c>
      <c r="E16" s="1">
        <v>512.62180000000001</v>
      </c>
      <c r="F16" s="1">
        <v>1657.875</v>
      </c>
      <c r="G16" s="1">
        <v>1168.001</v>
      </c>
      <c r="H16" s="1">
        <v>312.34309999999999</v>
      </c>
      <c r="I16" s="1">
        <v>259.66559999999998</v>
      </c>
      <c r="J16" s="1">
        <v>4481.7449999999999</v>
      </c>
      <c r="K16" s="1">
        <v>809.80650000000003</v>
      </c>
      <c r="L16" s="1">
        <v>1414.375</v>
      </c>
      <c r="M16" s="1">
        <v>7842.5370000000003</v>
      </c>
      <c r="N16" s="1">
        <v>5196.5810000000001</v>
      </c>
      <c r="O16" s="1">
        <v>71049.77</v>
      </c>
      <c r="P16" s="1">
        <f ca="1">SUM(OFFSET($A$1,15,1,1,14))</f>
        <v>95091.259220000007</v>
      </c>
      <c r="Q16" s="2">
        <f ca="1">SUM(OFFSET($A$1,15,1,1,12))</f>
        <v>18844.908220000001</v>
      </c>
    </row>
    <row r="17" spans="1:17" x14ac:dyDescent="0.2">
      <c r="A17" s="1" t="s">
        <v>43</v>
      </c>
      <c r="B17" s="1">
        <f ca="1">SUM(OFFSET($A$1,2,1,14,1))</f>
        <v>13830.798763000003</v>
      </c>
      <c r="C17" s="1">
        <f ca="1">SUM(OFFSET($A$1,2,2,14,1))</f>
        <v>50536.601669999996</v>
      </c>
      <c r="D17" s="1">
        <f ca="1">SUM(OFFSET($A$1,2,3,14,1))</f>
        <v>42848.802960000001</v>
      </c>
      <c r="E17" s="1">
        <f ca="1">SUM(OFFSET($A$1,2,4,14,1))</f>
        <v>174177.39179999998</v>
      </c>
      <c r="F17" s="1">
        <f ca="1">SUM(OFFSET($A$1,2,5,14,1))</f>
        <v>134628.4228</v>
      </c>
      <c r="G17" s="1">
        <f ca="1">SUM(OFFSET($A$1,2,6,14,1))</f>
        <v>80583.380899999989</v>
      </c>
      <c r="H17" s="1">
        <f ca="1">SUM(OFFSET($A$1,2,7,14,1))</f>
        <v>93786.979490000012</v>
      </c>
      <c r="I17" s="1">
        <f ca="1">SUM(OFFSET($A$1,2,8,14,1))</f>
        <v>32453.60759</v>
      </c>
      <c r="J17" s="1">
        <f ca="1">SUM(OFFSET($A$1,2,9,14,1))</f>
        <v>172176.85379999998</v>
      </c>
      <c r="K17" s="1">
        <f ca="1">SUM(OFFSET($A$1,2,10,14,1))</f>
        <v>32338.71067</v>
      </c>
      <c r="L17" s="1">
        <f ca="1">SUM(OFFSET($A$1,2,11,14,1))</f>
        <v>33524.036699999997</v>
      </c>
      <c r="M17" s="1">
        <f ca="1">SUM(OFFSET($A$1,2,12,14,1))</f>
        <v>65815.448629999999</v>
      </c>
      <c r="N17" s="1">
        <f ca="1">SUM(OFFSET($A$1,2,13,14,1))</f>
        <v>17059.127419999997</v>
      </c>
      <c r="O17" s="1">
        <f ca="1">SUM(OFFSET($A$1,2,14,14,1))</f>
        <v>95559.65512000001</v>
      </c>
      <c r="P17" s="1">
        <f ca="1">SUM(OFFSET($A$1,16,1,1,14))</f>
        <v>1039319.818313</v>
      </c>
      <c r="Q17" s="2">
        <f ca="1">SUM(OFFSET($A$1,16,1,1,12))</f>
        <v>926701.03577299998</v>
      </c>
    </row>
    <row r="18" spans="1:17" x14ac:dyDescent="0.2">
      <c r="O18" s="11" t="s">
        <v>59</v>
      </c>
      <c r="P18" s="1">
        <f ca="1">SUM(OFFSET($B$3,0,0,12,12))</f>
        <v>903691.49225999997</v>
      </c>
    </row>
    <row r="19" spans="1:17" x14ac:dyDescent="0.2">
      <c r="A19" s="1" t="s">
        <v>89</v>
      </c>
    </row>
    <row r="20" spans="1:17" x14ac:dyDescent="0.2"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 t="s">
        <v>43</v>
      </c>
      <c r="Q20" s="2" t="s">
        <v>61</v>
      </c>
    </row>
    <row r="21" spans="1:17" x14ac:dyDescent="0.2">
      <c r="A21" s="1">
        <v>1</v>
      </c>
      <c r="B21" s="1">
        <v>630.43190000000004</v>
      </c>
      <c r="C21" s="1">
        <v>386.50760000000002</v>
      </c>
      <c r="D21" s="1">
        <v>525.2518</v>
      </c>
      <c r="E21" s="1">
        <v>320.50229999999999</v>
      </c>
      <c r="F21" s="1">
        <v>150.47669999999999</v>
      </c>
      <c r="G21" s="1">
        <v>41.685099999999998</v>
      </c>
      <c r="H21" s="1">
        <v>53.598050000000001</v>
      </c>
      <c r="I21" s="1">
        <v>8.3664319999999996</v>
      </c>
      <c r="J21" s="1">
        <v>45.93947</v>
      </c>
      <c r="K21" s="1">
        <v>2.3284009999999999</v>
      </c>
      <c r="L21" s="1">
        <v>14.41362</v>
      </c>
      <c r="M21" s="1">
        <v>7.0639060000000002</v>
      </c>
      <c r="N21" s="1">
        <v>1.928229</v>
      </c>
      <c r="O21" s="1">
        <v>4.6161690000000002</v>
      </c>
      <c r="P21" s="1">
        <f ca="1">SUM(OFFSET($A$19,2,1,1,14))</f>
        <v>2193.1096769999995</v>
      </c>
      <c r="Q21" s="2">
        <f ca="1">SUM(OFFSET($A$19,2,1,1,12))</f>
        <v>2186.5652789999995</v>
      </c>
    </row>
    <row r="22" spans="1:17" x14ac:dyDescent="0.2">
      <c r="A22" s="1">
        <v>2</v>
      </c>
      <c r="B22" s="1">
        <v>364.4067</v>
      </c>
      <c r="C22" s="1">
        <v>3724.549</v>
      </c>
      <c r="D22" s="1">
        <v>996.00689999999997</v>
      </c>
      <c r="E22" s="1">
        <v>1135.963</v>
      </c>
      <c r="F22" s="1">
        <v>711.70169999999996</v>
      </c>
      <c r="G22" s="1">
        <v>226.98339999999999</v>
      </c>
      <c r="H22" s="1">
        <v>155.50200000000001</v>
      </c>
      <c r="I22" s="1">
        <v>34.074190000000002</v>
      </c>
      <c r="J22" s="1">
        <v>200.86500000000001</v>
      </c>
      <c r="K22" s="1">
        <v>19.296230000000001</v>
      </c>
      <c r="L22" s="1">
        <v>58.733469999999997</v>
      </c>
      <c r="M22" s="1">
        <v>43.082380000000001</v>
      </c>
      <c r="N22" s="1">
        <v>4.2997940000000003</v>
      </c>
      <c r="O22" s="1">
        <v>14.01266</v>
      </c>
      <c r="P22" s="1">
        <f ca="1">SUM(OFFSET($A$19,3,1,1,14))</f>
        <v>7689.4764239999995</v>
      </c>
      <c r="Q22" s="2">
        <f ca="1">SUM(OFFSET($A$19,3,1,1,12))</f>
        <v>7671.1639699999996</v>
      </c>
    </row>
    <row r="23" spans="1:17" x14ac:dyDescent="0.2">
      <c r="A23" s="1">
        <v>3</v>
      </c>
      <c r="B23" s="1">
        <v>194.2056</v>
      </c>
      <c r="C23" s="1">
        <v>399.13549999999998</v>
      </c>
      <c r="D23" s="1">
        <v>822.51570000000004</v>
      </c>
      <c r="E23" s="1">
        <v>1775.4960000000001</v>
      </c>
      <c r="F23" s="1">
        <v>624.03300000000002</v>
      </c>
      <c r="G23" s="1">
        <v>377.17099999999999</v>
      </c>
      <c r="H23" s="1">
        <v>377.98169999999999</v>
      </c>
      <c r="I23" s="1">
        <v>80.143370000000004</v>
      </c>
      <c r="J23" s="1">
        <v>429.05450000000002</v>
      </c>
      <c r="K23" s="1">
        <v>79.069900000000004</v>
      </c>
      <c r="L23" s="1">
        <v>86.122380000000007</v>
      </c>
      <c r="M23" s="1">
        <v>81.667569999999998</v>
      </c>
      <c r="N23" s="1">
        <v>17.147490000000001</v>
      </c>
      <c r="O23" s="1">
        <v>40.893619999999999</v>
      </c>
      <c r="P23" s="1">
        <f ca="1">SUM(OFFSET($A$19,4,1,1,14))</f>
        <v>5384.6373300000005</v>
      </c>
      <c r="Q23" s="2">
        <f ca="1">SUM(OFFSET($A$19,4,1,1,12))</f>
        <v>5326.5962200000004</v>
      </c>
    </row>
    <row r="24" spans="1:17" x14ac:dyDescent="0.2">
      <c r="A24" s="1">
        <v>4</v>
      </c>
      <c r="B24" s="1">
        <v>243.3031</v>
      </c>
      <c r="C24" s="1">
        <v>946.64440000000002</v>
      </c>
      <c r="D24" s="1">
        <v>3150.038</v>
      </c>
      <c r="E24" s="1">
        <v>14110.45</v>
      </c>
      <c r="F24" s="1">
        <v>3124.6619999999998</v>
      </c>
      <c r="G24" s="1">
        <v>913.22149999999999</v>
      </c>
      <c r="H24" s="1">
        <v>2363.19</v>
      </c>
      <c r="I24" s="1">
        <v>340.96140000000003</v>
      </c>
      <c r="J24" s="1">
        <v>1551.6949999999999</v>
      </c>
      <c r="K24" s="1">
        <v>209.739</v>
      </c>
      <c r="L24" s="1">
        <v>222.6345</v>
      </c>
      <c r="M24" s="1">
        <v>263.97899999999998</v>
      </c>
      <c r="N24" s="1">
        <v>27.752849999999999</v>
      </c>
      <c r="O24" s="1">
        <v>96.079390000000004</v>
      </c>
      <c r="P24" s="1">
        <f ca="1">SUM(OFFSET($A$19,5,1,1,14))</f>
        <v>27564.350139999999</v>
      </c>
      <c r="Q24" s="2">
        <f ca="1">SUM(OFFSET($A$19,5,1,1,12))</f>
        <v>27440.517899999999</v>
      </c>
    </row>
    <row r="25" spans="1:17" x14ac:dyDescent="0.2">
      <c r="A25" s="1">
        <v>5</v>
      </c>
      <c r="B25" s="1">
        <v>126.88849999999999</v>
      </c>
      <c r="C25" s="1">
        <v>639.70180000000005</v>
      </c>
      <c r="D25" s="1">
        <v>1283.374</v>
      </c>
      <c r="E25" s="1">
        <v>3279.989</v>
      </c>
      <c r="F25" s="1">
        <v>7023.5420000000004</v>
      </c>
      <c r="G25" s="1">
        <v>1561.9090000000001</v>
      </c>
      <c r="H25" s="1">
        <v>828.93510000000003</v>
      </c>
      <c r="I25" s="1">
        <v>308.33929999999998</v>
      </c>
      <c r="J25" s="1">
        <v>1630.8040000000001</v>
      </c>
      <c r="K25" s="1">
        <v>186.0377</v>
      </c>
      <c r="L25" s="1">
        <v>377.29309999999998</v>
      </c>
      <c r="M25" s="1">
        <v>414.7373</v>
      </c>
      <c r="N25" s="1">
        <v>46.263680000000001</v>
      </c>
      <c r="O25" s="1">
        <v>242.46940000000001</v>
      </c>
      <c r="P25" s="1">
        <f ca="1">SUM(OFFSET($A$19,6,1,1,14))</f>
        <v>17950.283880000003</v>
      </c>
      <c r="Q25" s="2">
        <f ca="1">SUM(OFFSET($A$19,6,1,1,12))</f>
        <v>17661.550800000001</v>
      </c>
    </row>
    <row r="26" spans="1:17" x14ac:dyDescent="0.2">
      <c r="A26" s="1">
        <v>6</v>
      </c>
      <c r="B26" s="1">
        <v>39.240519999999997</v>
      </c>
      <c r="C26" s="1">
        <v>225.59270000000001</v>
      </c>
      <c r="D26" s="1">
        <v>865.54319999999996</v>
      </c>
      <c r="E26" s="1">
        <v>1091.979</v>
      </c>
      <c r="F26" s="1">
        <v>1699.4159999999999</v>
      </c>
      <c r="G26" s="1">
        <v>5579.2709999999997</v>
      </c>
      <c r="H26" s="1">
        <v>243.4024</v>
      </c>
      <c r="I26" s="1">
        <v>115.03149999999999</v>
      </c>
      <c r="J26" s="1">
        <v>756.34990000000005</v>
      </c>
      <c r="K26" s="1">
        <v>78.702520000000007</v>
      </c>
      <c r="L26" s="1">
        <v>728.23820000000001</v>
      </c>
      <c r="M26" s="1">
        <v>318.42219999999998</v>
      </c>
      <c r="N26" s="1">
        <v>117.1996</v>
      </c>
      <c r="O26" s="1">
        <v>186.60380000000001</v>
      </c>
      <c r="P26" s="1">
        <f ca="1">SUM(OFFSET($A$19,7,1,1,14))</f>
        <v>12044.992539999999</v>
      </c>
      <c r="Q26" s="2">
        <f ca="1">SUM(OFFSET($A$19,7,1,1,12))</f>
        <v>11741.189139999999</v>
      </c>
    </row>
    <row r="27" spans="1:17" x14ac:dyDescent="0.2">
      <c r="A27" s="1">
        <v>7</v>
      </c>
      <c r="B27" s="1">
        <v>49.447989999999997</v>
      </c>
      <c r="C27" s="1">
        <v>151.3647</v>
      </c>
      <c r="D27" s="1">
        <v>897.11869999999999</v>
      </c>
      <c r="E27" s="1">
        <v>2712.7260000000001</v>
      </c>
      <c r="F27" s="1">
        <v>907.25530000000003</v>
      </c>
      <c r="G27" s="1">
        <v>241.81569999999999</v>
      </c>
      <c r="H27" s="1">
        <v>6767.7</v>
      </c>
      <c r="I27" s="1">
        <v>482.76510000000002</v>
      </c>
      <c r="J27" s="1">
        <v>1181.7619999999999</v>
      </c>
      <c r="K27" s="1">
        <v>278.58049999999997</v>
      </c>
      <c r="L27" s="1">
        <v>70.052639999999997</v>
      </c>
      <c r="M27" s="1">
        <v>208.1095</v>
      </c>
      <c r="N27" s="1">
        <v>9.1244949999999996</v>
      </c>
      <c r="O27" s="1">
        <v>50.257170000000002</v>
      </c>
      <c r="P27" s="1">
        <f ca="1">SUM(OFFSET($A$19,8,1,1,14))</f>
        <v>14008.079795000003</v>
      </c>
      <c r="Q27" s="2">
        <f ca="1">SUM(OFFSET($A$19,8,1,1,12))</f>
        <v>13948.698130000002</v>
      </c>
    </row>
    <row r="28" spans="1:17" x14ac:dyDescent="0.2">
      <c r="A28" s="1">
        <v>8</v>
      </c>
      <c r="B28" s="1">
        <v>8.4306590000000003</v>
      </c>
      <c r="C28" s="1">
        <v>36.147979999999997</v>
      </c>
      <c r="D28" s="1">
        <v>216.1611</v>
      </c>
      <c r="E28" s="1">
        <v>407.9128</v>
      </c>
      <c r="F28" s="1">
        <v>349.37360000000001</v>
      </c>
      <c r="G28" s="1">
        <v>119.9248</v>
      </c>
      <c r="H28" s="1">
        <v>529.30409999999995</v>
      </c>
      <c r="I28" s="1">
        <v>1502.616</v>
      </c>
      <c r="J28" s="1">
        <v>985.70360000000005</v>
      </c>
      <c r="K28" s="1">
        <v>169.7484</v>
      </c>
      <c r="L28" s="1">
        <v>46.281190000000002</v>
      </c>
      <c r="M28" s="1">
        <v>207.86500000000001</v>
      </c>
      <c r="N28" s="1">
        <v>10.982989999999999</v>
      </c>
      <c r="O28" s="1">
        <v>44.636490000000002</v>
      </c>
      <c r="P28" s="1">
        <f ca="1">SUM(OFFSET($A$19,9,1,1,14))</f>
        <v>4635.0887089999997</v>
      </c>
      <c r="Q28" s="2">
        <f ca="1">SUM(OFFSET($A$19,9,1,1,12))</f>
        <v>4579.4692289999994</v>
      </c>
    </row>
    <row r="29" spans="1:17" x14ac:dyDescent="0.2">
      <c r="A29" s="1">
        <v>9</v>
      </c>
      <c r="B29" s="1">
        <v>39.251220000000004</v>
      </c>
      <c r="C29" s="1">
        <v>183.9734</v>
      </c>
      <c r="D29" s="1">
        <v>927.93110000000001</v>
      </c>
      <c r="E29" s="1">
        <v>1675.059</v>
      </c>
      <c r="F29" s="1">
        <v>1631.7529999999999</v>
      </c>
      <c r="G29" s="1">
        <v>686.06830000000002</v>
      </c>
      <c r="H29" s="1">
        <v>1121.0139999999999</v>
      </c>
      <c r="I29" s="1">
        <v>876.07259999999997</v>
      </c>
      <c r="J29" s="1">
        <v>12998.17</v>
      </c>
      <c r="K29" s="1">
        <v>892.52390000000003</v>
      </c>
      <c r="L29" s="1">
        <v>327.66379999999998</v>
      </c>
      <c r="M29" s="1">
        <v>1970.002</v>
      </c>
      <c r="N29" s="1">
        <v>81.896379999999994</v>
      </c>
      <c r="O29" s="1">
        <v>599.197</v>
      </c>
      <c r="P29" s="1">
        <f ca="1">SUM(OFFSET($A$19,10,1,1,14))</f>
        <v>24010.575699999998</v>
      </c>
      <c r="Q29" s="2">
        <f ca="1">SUM(OFFSET($A$19,10,1,1,12))</f>
        <v>23329.482319999999</v>
      </c>
    </row>
    <row r="30" spans="1:17" x14ac:dyDescent="0.2">
      <c r="A30" s="1">
        <v>10</v>
      </c>
      <c r="B30" s="1">
        <v>2.2845249999999999</v>
      </c>
      <c r="C30" s="1">
        <v>20.190000000000001</v>
      </c>
      <c r="D30" s="1">
        <v>207.995</v>
      </c>
      <c r="E30" s="1">
        <v>260.27910000000003</v>
      </c>
      <c r="F30" s="1">
        <v>208.626</v>
      </c>
      <c r="G30" s="1">
        <v>80.805700000000002</v>
      </c>
      <c r="H30" s="1">
        <v>299.03980000000001</v>
      </c>
      <c r="I30" s="1">
        <v>165.87180000000001</v>
      </c>
      <c r="J30" s="1">
        <v>994.9203</v>
      </c>
      <c r="K30" s="1">
        <v>1871.5519999999999</v>
      </c>
      <c r="L30" s="1">
        <v>39.291849999999997</v>
      </c>
      <c r="M30" s="1">
        <v>463.03859999999997</v>
      </c>
      <c r="N30" s="1">
        <v>8.800103</v>
      </c>
      <c r="O30" s="1">
        <v>128.21520000000001</v>
      </c>
      <c r="P30" s="1">
        <f ca="1">SUM(OFFSET($A$19,11,1,1,14))</f>
        <v>4750.9099779999988</v>
      </c>
      <c r="Q30" s="2">
        <f ca="1">SUM(OFFSET($A$19,11,1,1,12))</f>
        <v>4613.8946749999996</v>
      </c>
    </row>
    <row r="31" spans="1:17" x14ac:dyDescent="0.2">
      <c r="A31" s="1">
        <v>11</v>
      </c>
      <c r="B31" s="1">
        <v>14.55794</v>
      </c>
      <c r="C31" s="1">
        <v>62.46949</v>
      </c>
      <c r="D31" s="1">
        <v>221.8151</v>
      </c>
      <c r="E31" s="1">
        <v>283.4796</v>
      </c>
      <c r="F31" s="1">
        <v>445.67959999999999</v>
      </c>
      <c r="G31" s="1">
        <v>718.73760000000004</v>
      </c>
      <c r="H31" s="1">
        <v>75.130480000000006</v>
      </c>
      <c r="I31" s="1">
        <v>47.080089999999998</v>
      </c>
      <c r="J31" s="1">
        <v>368.87079999999997</v>
      </c>
      <c r="K31" s="1">
        <v>39.496090000000002</v>
      </c>
      <c r="L31" s="1">
        <v>2500.259</v>
      </c>
      <c r="M31" s="1">
        <v>280.59210000000002</v>
      </c>
      <c r="N31" s="1">
        <v>196.4111</v>
      </c>
      <c r="O31" s="1">
        <v>226.43190000000001</v>
      </c>
      <c r="P31" s="1">
        <f ca="1">SUM(OFFSET($A$19,12,1,1,14))</f>
        <v>5481.0108899999996</v>
      </c>
      <c r="Q31" s="2">
        <f ca="1">SUM(OFFSET($A$19,12,1,1,12))</f>
        <v>5058.1678899999997</v>
      </c>
    </row>
    <row r="32" spans="1:17" x14ac:dyDescent="0.2">
      <c r="A32" s="1">
        <v>12</v>
      </c>
      <c r="B32" s="1">
        <v>7.0142790000000002</v>
      </c>
      <c r="C32" s="1">
        <v>44.53416</v>
      </c>
      <c r="D32" s="1">
        <v>224.37809999999999</v>
      </c>
      <c r="E32" s="1">
        <v>322.5027</v>
      </c>
      <c r="F32" s="1">
        <v>459.47239999999999</v>
      </c>
      <c r="G32" s="1">
        <v>318.2276</v>
      </c>
      <c r="H32" s="1">
        <v>218.05779999999999</v>
      </c>
      <c r="I32" s="1">
        <v>200.6995</v>
      </c>
      <c r="J32" s="1">
        <v>2082.7640000000001</v>
      </c>
      <c r="K32" s="1">
        <v>450.26639999999998</v>
      </c>
      <c r="L32" s="1">
        <v>267.09320000000002</v>
      </c>
      <c r="M32" s="1">
        <v>3309.203</v>
      </c>
      <c r="N32" s="1">
        <v>175.26650000000001</v>
      </c>
      <c r="O32" s="1">
        <v>1120.05</v>
      </c>
      <c r="P32" s="1">
        <f ca="1">SUM(OFFSET($A$19,13,1,1,14))</f>
        <v>9199.5296390000003</v>
      </c>
      <c r="Q32" s="2">
        <f ca="1">SUM(OFFSET($A$19,13,1,1,12))</f>
        <v>7904.2131390000013</v>
      </c>
    </row>
    <row r="33" spans="1:17" x14ac:dyDescent="0.2">
      <c r="A33" s="1">
        <v>13</v>
      </c>
      <c r="B33" s="1">
        <v>1.911216</v>
      </c>
      <c r="C33" s="1">
        <v>4.4670449999999997</v>
      </c>
      <c r="D33" s="1">
        <v>40.211770000000001</v>
      </c>
      <c r="E33" s="1">
        <v>32.700290000000003</v>
      </c>
      <c r="F33" s="1">
        <v>50.37659</v>
      </c>
      <c r="G33" s="1">
        <v>114.2672</v>
      </c>
      <c r="H33" s="1">
        <v>9.5109790000000007</v>
      </c>
      <c r="I33" s="1">
        <v>10.95988</v>
      </c>
      <c r="J33" s="1">
        <v>88.285300000000007</v>
      </c>
      <c r="K33" s="1">
        <v>9.0562679999999993</v>
      </c>
      <c r="L33" s="1">
        <v>184.99279999999999</v>
      </c>
      <c r="M33" s="1">
        <v>177.5651</v>
      </c>
      <c r="N33" s="1">
        <v>1061.8920000000001</v>
      </c>
      <c r="O33" s="1">
        <v>784.97320000000002</v>
      </c>
      <c r="P33" s="1">
        <f ca="1">SUM(OFFSET($A$19,14,1,1,14))</f>
        <v>2571.1696379999998</v>
      </c>
      <c r="Q33" s="2">
        <f ca="1">SUM(OFFSET($A$19,14,1,1,12))</f>
        <v>724.304438</v>
      </c>
    </row>
    <row r="34" spans="1:17" x14ac:dyDescent="0.2">
      <c r="A34" s="1">
        <v>14</v>
      </c>
      <c r="B34" s="1">
        <v>4.8331239999999998</v>
      </c>
      <c r="C34" s="1">
        <v>15.29918</v>
      </c>
      <c r="D34" s="1">
        <v>116.3192</v>
      </c>
      <c r="E34" s="1">
        <v>121.7107</v>
      </c>
      <c r="F34" s="1">
        <v>281.09089999999998</v>
      </c>
      <c r="G34" s="1">
        <v>192.4349</v>
      </c>
      <c r="H34" s="1">
        <v>54.999839999999999</v>
      </c>
      <c r="I34" s="1">
        <v>44.7333</v>
      </c>
      <c r="J34" s="1">
        <v>680.22559999999999</v>
      </c>
      <c r="K34" s="1">
        <v>131.0403</v>
      </c>
      <c r="L34" s="1">
        <v>218.71449999999999</v>
      </c>
      <c r="M34" s="1">
        <v>1148.585</v>
      </c>
      <c r="N34" s="1">
        <v>774.56380000000001</v>
      </c>
      <c r="O34" s="1">
        <v>9339.5669999999991</v>
      </c>
      <c r="P34" s="1">
        <f ca="1">SUM(OFFSET($A$19,15,1,1,14))</f>
        <v>13124.117343999998</v>
      </c>
      <c r="Q34" s="2">
        <f ca="1">SUM(OFFSET($A$19,15,1,1,12))</f>
        <v>3009.9865439999999</v>
      </c>
    </row>
    <row r="35" spans="1:17" x14ac:dyDescent="0.2">
      <c r="A35" s="1" t="s">
        <v>43</v>
      </c>
      <c r="B35" s="1">
        <f ca="1">SUM(OFFSET($A$19,2,1,14,1))</f>
        <v>1726.2072730000002</v>
      </c>
      <c r="C35" s="1">
        <f ca="1">SUM(OFFSET($A$19,2,2,14,1))</f>
        <v>6840.5769550000005</v>
      </c>
      <c r="D35" s="1">
        <f ca="1">SUM(OFFSET($A$19,2,3,14,1))</f>
        <v>10494.659669999999</v>
      </c>
      <c r="E35" s="1">
        <f ca="1">SUM(OFFSET($A$19,2,4,14,1))</f>
        <v>27530.749489999998</v>
      </c>
      <c r="F35" s="1">
        <f ca="1">SUM(OFFSET($A$19,2,5,14,1))</f>
        <v>17667.458790000001</v>
      </c>
      <c r="G35" s="1">
        <f ca="1">SUM(OFFSET($A$19,2,6,14,1))</f>
        <v>11172.522800000002</v>
      </c>
      <c r="H35" s="1">
        <f ca="1">SUM(OFFSET($A$19,2,7,14,1))</f>
        <v>13097.366249000001</v>
      </c>
      <c r="I35" s="1">
        <f ca="1">SUM(OFFSET($A$19,2,8,14,1))</f>
        <v>4217.7144619999999</v>
      </c>
      <c r="J35" s="1">
        <f ca="1">SUM(OFFSET($A$19,2,9,14,1))</f>
        <v>23995.409470000002</v>
      </c>
      <c r="K35" s="1">
        <f ca="1">SUM(OFFSET($A$19,2,10,14,1))</f>
        <v>4417.4376089999996</v>
      </c>
      <c r="L35" s="1">
        <f ca="1">SUM(OFFSET($A$19,2,11,14,1))</f>
        <v>5141.7842499999997</v>
      </c>
      <c r="M35" s="1">
        <f ca="1">SUM(OFFSET($A$19,2,12,14,1))</f>
        <v>8893.9126560000004</v>
      </c>
      <c r="N35" s="1">
        <f ca="1">SUM(OFFSET($A$19,2,13,14,1))</f>
        <v>2533.5290110000001</v>
      </c>
      <c r="O35" s="1">
        <f ca="1">SUM(OFFSET($A$19,2,14,14,1))</f>
        <v>12878.002998999998</v>
      </c>
      <c r="P35" s="1">
        <f ca="1">SUM(OFFSET($A$19,16,1,1,14))</f>
        <v>150607.331684</v>
      </c>
      <c r="Q35" s="2">
        <f ca="1">SUM(OFFSET($A$19,16,1,1,12))</f>
        <v>135195.79967400001</v>
      </c>
    </row>
    <row r="36" spans="1:17" x14ac:dyDescent="0.2">
      <c r="O36" s="11" t="s">
        <v>59</v>
      </c>
      <c r="P36" s="1">
        <f ca="1">SUM(OFFSET($B$21,0,0,12,12))</f>
        <v>131461.50869199997</v>
      </c>
    </row>
    <row r="37" spans="1:17" x14ac:dyDescent="0.2">
      <c r="A37" s="1" t="s">
        <v>91</v>
      </c>
    </row>
    <row r="38" spans="1:17" x14ac:dyDescent="0.2">
      <c r="B38" s="1">
        <v>1</v>
      </c>
      <c r="C38" s="1">
        <v>2</v>
      </c>
      <c r="D38" s="1">
        <v>3</v>
      </c>
      <c r="E38" s="1">
        <v>4</v>
      </c>
      <c r="F38" s="1">
        <v>5</v>
      </c>
      <c r="G38" s="1">
        <v>6</v>
      </c>
      <c r="H38" s="1">
        <v>7</v>
      </c>
      <c r="I38" s="1">
        <v>8</v>
      </c>
      <c r="J38" s="1">
        <v>9</v>
      </c>
      <c r="K38" s="1">
        <v>10</v>
      </c>
      <c r="L38" s="1">
        <v>11</v>
      </c>
      <c r="M38" s="1">
        <v>12</v>
      </c>
      <c r="N38" s="1">
        <v>13</v>
      </c>
      <c r="O38" s="1">
        <v>14</v>
      </c>
      <c r="P38" s="1" t="s">
        <v>43</v>
      </c>
      <c r="Q38" s="2" t="s">
        <v>61</v>
      </c>
    </row>
    <row r="39" spans="1:17" x14ac:dyDescent="0.2">
      <c r="A39" s="1">
        <v>1</v>
      </c>
      <c r="B39" s="1">
        <v>103.3318</v>
      </c>
      <c r="C39" s="1">
        <v>76.021940000000001</v>
      </c>
      <c r="D39" s="1">
        <v>95.774320000000003</v>
      </c>
      <c r="E39" s="1">
        <v>86.696449999999999</v>
      </c>
      <c r="F39" s="1">
        <v>29.918099999999999</v>
      </c>
      <c r="G39" s="1">
        <v>8.7592119999999998</v>
      </c>
      <c r="H39" s="1">
        <v>11.20687</v>
      </c>
      <c r="I39" s="1">
        <v>1.6867890000000001</v>
      </c>
      <c r="J39" s="1">
        <v>9.6734559999999998</v>
      </c>
      <c r="K39" s="1">
        <v>0.49057030000000001</v>
      </c>
      <c r="L39" s="1">
        <v>3.1382409999999998</v>
      </c>
      <c r="M39" s="1">
        <v>1.555782</v>
      </c>
      <c r="N39" s="1">
        <v>0.46080270000000001</v>
      </c>
      <c r="O39" s="1">
        <v>1.162863</v>
      </c>
      <c r="P39" s="1">
        <f ca="1">SUM(OFFSET($A$37,2,1,1,14))</f>
        <v>429.87719599999997</v>
      </c>
      <c r="Q39" s="2">
        <f ca="1">SUM(OFFSET($A$37,2,1,1,12))</f>
        <v>428.25353029999997</v>
      </c>
    </row>
    <row r="40" spans="1:17" x14ac:dyDescent="0.2">
      <c r="A40" s="1">
        <v>2</v>
      </c>
      <c r="B40" s="1">
        <v>71.729780000000005</v>
      </c>
      <c r="C40" s="1">
        <v>608.05880000000002</v>
      </c>
      <c r="D40" s="1">
        <v>178.8313</v>
      </c>
      <c r="E40" s="1">
        <v>300.91899999999998</v>
      </c>
      <c r="F40" s="1">
        <v>141.6883</v>
      </c>
      <c r="G40" s="1">
        <v>47.06082</v>
      </c>
      <c r="H40" s="1">
        <v>31.410699999999999</v>
      </c>
      <c r="I40" s="1">
        <v>6.5633569999999999</v>
      </c>
      <c r="J40" s="1">
        <v>42.313920000000003</v>
      </c>
      <c r="K40" s="1">
        <v>3.820665</v>
      </c>
      <c r="L40" s="1">
        <v>12.19665</v>
      </c>
      <c r="M40" s="1">
        <v>9.356859</v>
      </c>
      <c r="N40" s="1">
        <v>1.001458</v>
      </c>
      <c r="O40" s="1">
        <v>3.351172</v>
      </c>
      <c r="P40" s="1">
        <f ca="1">SUM(OFFSET($A$37,3,1,1,14))</f>
        <v>1458.3027809999999</v>
      </c>
      <c r="Q40" s="2">
        <f ca="1">SUM(OFFSET($A$37,3,1,1,12))</f>
        <v>1453.950151</v>
      </c>
    </row>
    <row r="41" spans="1:17" x14ac:dyDescent="0.2">
      <c r="A41" s="1">
        <v>3</v>
      </c>
      <c r="B41" s="1">
        <v>36.023319999999998</v>
      </c>
      <c r="C41" s="1">
        <v>72.851640000000003</v>
      </c>
      <c r="D41" s="1">
        <v>131.1027</v>
      </c>
      <c r="E41" s="1">
        <v>447.57279999999997</v>
      </c>
      <c r="F41" s="1">
        <v>118.70829999999999</v>
      </c>
      <c r="G41" s="1">
        <v>71.788880000000006</v>
      </c>
      <c r="H41" s="1">
        <v>72.509219999999999</v>
      </c>
      <c r="I41" s="1">
        <v>14.874470000000001</v>
      </c>
      <c r="J41" s="1">
        <v>84.358530000000002</v>
      </c>
      <c r="K41" s="1">
        <v>15.118359999999999</v>
      </c>
      <c r="L41" s="1">
        <v>16.895969999999998</v>
      </c>
      <c r="M41" s="1">
        <v>16.53491</v>
      </c>
      <c r="N41" s="1">
        <v>3.6913659999999999</v>
      </c>
      <c r="O41" s="1">
        <v>9.1877460000000006</v>
      </c>
      <c r="P41" s="1">
        <f ca="1">SUM(OFFSET($A$37,4,1,1,14))</f>
        <v>1111.2182120000002</v>
      </c>
      <c r="Q41" s="2">
        <f ca="1">SUM(OFFSET($A$37,4,1,1,12))</f>
        <v>1098.3391000000001</v>
      </c>
    </row>
    <row r="42" spans="1:17" x14ac:dyDescent="0.2">
      <c r="A42" s="1">
        <v>4</v>
      </c>
      <c r="B42" s="1">
        <v>65.861369999999994</v>
      </c>
      <c r="C42" s="1">
        <v>250.97409999999999</v>
      </c>
      <c r="D42" s="1">
        <v>781.12760000000003</v>
      </c>
      <c r="E42" s="1">
        <v>2755.402</v>
      </c>
      <c r="F42" s="1">
        <v>846.11630000000002</v>
      </c>
      <c r="G42" s="1">
        <v>249.74420000000001</v>
      </c>
      <c r="H42" s="1">
        <v>648.79499999999996</v>
      </c>
      <c r="I42" s="1">
        <v>91.580309999999997</v>
      </c>
      <c r="J42" s="1">
        <v>432.8374</v>
      </c>
      <c r="K42" s="1">
        <v>58.189720000000001</v>
      </c>
      <c r="L42" s="1">
        <v>64.254580000000004</v>
      </c>
      <c r="M42" s="1">
        <v>75.925070000000005</v>
      </c>
      <c r="N42" s="1">
        <v>9.0304040000000008</v>
      </c>
      <c r="O42" s="1">
        <v>30.06006</v>
      </c>
      <c r="P42" s="1">
        <f ca="1">SUM(OFFSET($A$37,5,1,1,14))</f>
        <v>6359.8981140000005</v>
      </c>
      <c r="Q42" s="2">
        <f ca="1">SUM(OFFSET($A$37,5,1,1,12))</f>
        <v>6320.8076500000006</v>
      </c>
    </row>
    <row r="43" spans="1:17" x14ac:dyDescent="0.2">
      <c r="A43" s="1">
        <v>5</v>
      </c>
      <c r="B43" s="1">
        <v>25.185659999999999</v>
      </c>
      <c r="C43" s="1">
        <v>127.2193</v>
      </c>
      <c r="D43" s="1">
        <v>241.08519999999999</v>
      </c>
      <c r="E43" s="1">
        <v>888.23940000000005</v>
      </c>
      <c r="F43" s="1">
        <v>1183.55</v>
      </c>
      <c r="G43" s="1">
        <v>308.46409999999997</v>
      </c>
      <c r="H43" s="1">
        <v>174.44659999999999</v>
      </c>
      <c r="I43" s="1">
        <v>63.504559999999998</v>
      </c>
      <c r="J43" s="1">
        <v>330.43619999999999</v>
      </c>
      <c r="K43" s="1">
        <v>37.379109999999997</v>
      </c>
      <c r="L43" s="1">
        <v>78.718590000000006</v>
      </c>
      <c r="M43" s="1">
        <v>86.547920000000005</v>
      </c>
      <c r="N43" s="1">
        <v>10.733790000000001</v>
      </c>
      <c r="O43" s="1">
        <v>56.533580000000001</v>
      </c>
      <c r="P43" s="1">
        <f ca="1">SUM(OFFSET($A$37,6,1,1,14))</f>
        <v>3612.0440100000001</v>
      </c>
      <c r="Q43" s="2">
        <f ca="1">SUM(OFFSET($A$37,6,1,1,12))</f>
        <v>3544.77664</v>
      </c>
    </row>
    <row r="44" spans="1:17" x14ac:dyDescent="0.2">
      <c r="A44" s="1">
        <v>6</v>
      </c>
      <c r="B44" s="1">
        <v>8.2205910000000006</v>
      </c>
      <c r="C44" s="1">
        <v>46.59957</v>
      </c>
      <c r="D44" s="1">
        <v>162.54769999999999</v>
      </c>
      <c r="E44" s="1">
        <v>297.83530000000002</v>
      </c>
      <c r="F44" s="1">
        <v>335.5883</v>
      </c>
      <c r="G44" s="1">
        <v>923.36159999999995</v>
      </c>
      <c r="H44" s="1">
        <v>49.953069999999997</v>
      </c>
      <c r="I44" s="1">
        <v>22.857849999999999</v>
      </c>
      <c r="J44" s="1">
        <v>153.08580000000001</v>
      </c>
      <c r="K44" s="1">
        <v>16.019850000000002</v>
      </c>
      <c r="L44" s="1">
        <v>149.12110000000001</v>
      </c>
      <c r="M44" s="1">
        <v>67.961879999999994</v>
      </c>
      <c r="N44" s="1">
        <v>26.490729999999999</v>
      </c>
      <c r="O44" s="1">
        <v>42.578539999999997</v>
      </c>
      <c r="P44" s="1">
        <f ca="1">SUM(OFFSET($A$37,7,1,1,14))</f>
        <v>2302.2218809999999</v>
      </c>
      <c r="Q44" s="2">
        <f ca="1">SUM(OFFSET($A$37,7,1,1,12))</f>
        <v>2233.152611</v>
      </c>
    </row>
    <row r="45" spans="1:17" x14ac:dyDescent="0.2">
      <c r="A45" s="1">
        <v>7</v>
      </c>
      <c r="B45" s="1">
        <v>10.34385</v>
      </c>
      <c r="C45" s="1">
        <v>30.61429</v>
      </c>
      <c r="D45" s="1">
        <v>170.0557</v>
      </c>
      <c r="E45" s="1">
        <v>747.46040000000005</v>
      </c>
      <c r="F45" s="1">
        <v>191.39619999999999</v>
      </c>
      <c r="G45" s="1">
        <v>49.777230000000003</v>
      </c>
      <c r="H45" s="1">
        <v>1142.249</v>
      </c>
      <c r="I45" s="1">
        <v>96.134349999999998</v>
      </c>
      <c r="J45" s="1">
        <v>245.6644</v>
      </c>
      <c r="K45" s="1">
        <v>55.267519999999998</v>
      </c>
      <c r="L45" s="1">
        <v>14.37974</v>
      </c>
      <c r="M45" s="1">
        <v>45.333550000000002</v>
      </c>
      <c r="N45" s="1">
        <v>2.047234</v>
      </c>
      <c r="O45" s="1">
        <v>11.7699</v>
      </c>
      <c r="P45" s="1">
        <f ca="1">SUM(OFFSET($A$37,8,1,1,14))</f>
        <v>2812.4933639999995</v>
      </c>
      <c r="Q45" s="2">
        <f ca="1">SUM(OFFSET($A$37,8,1,1,12))</f>
        <v>2798.6762299999996</v>
      </c>
    </row>
    <row r="46" spans="1:17" x14ac:dyDescent="0.2">
      <c r="A46" s="1">
        <v>8</v>
      </c>
      <c r="B46" s="1">
        <v>1.69594</v>
      </c>
      <c r="C46" s="1">
        <v>6.9448270000000001</v>
      </c>
      <c r="D46" s="1">
        <v>39.348460000000003</v>
      </c>
      <c r="E46" s="1">
        <v>109.2709</v>
      </c>
      <c r="F46" s="1">
        <v>71.749639999999999</v>
      </c>
      <c r="G46" s="1">
        <v>23.772960000000001</v>
      </c>
      <c r="H46" s="1">
        <v>105.47920000000001</v>
      </c>
      <c r="I46" s="1">
        <v>245.17910000000001</v>
      </c>
      <c r="J46" s="1">
        <v>203.3708</v>
      </c>
      <c r="K46" s="1">
        <v>33.956670000000003</v>
      </c>
      <c r="L46" s="1">
        <v>10.45646</v>
      </c>
      <c r="M46" s="1">
        <v>43.65419</v>
      </c>
      <c r="N46" s="1">
        <v>2.5711849999999998</v>
      </c>
      <c r="O46" s="1">
        <v>10.06119</v>
      </c>
      <c r="P46" s="1">
        <f ca="1">SUM(OFFSET($A$37,9,1,1,14))</f>
        <v>907.51152200000013</v>
      </c>
      <c r="Q46" s="2">
        <f ca="1">SUM(OFFSET($A$37,9,1,1,12))</f>
        <v>894.8791470000001</v>
      </c>
    </row>
    <row r="47" spans="1:17" x14ac:dyDescent="0.2">
      <c r="A47" s="1">
        <v>9</v>
      </c>
      <c r="B47" s="1">
        <v>8.3452490000000008</v>
      </c>
      <c r="C47" s="1">
        <v>39.101030000000002</v>
      </c>
      <c r="D47" s="1">
        <v>182.2021</v>
      </c>
      <c r="E47" s="1">
        <v>471.3793</v>
      </c>
      <c r="F47" s="1">
        <v>333.93619999999999</v>
      </c>
      <c r="G47" s="1">
        <v>140.25399999999999</v>
      </c>
      <c r="H47" s="1">
        <v>234.9939</v>
      </c>
      <c r="I47" s="1">
        <v>182.57149999999999</v>
      </c>
      <c r="J47" s="1">
        <v>2207.25</v>
      </c>
      <c r="K47" s="1">
        <v>180.01660000000001</v>
      </c>
      <c r="L47" s="1">
        <v>70.727649999999997</v>
      </c>
      <c r="M47" s="1">
        <v>411.00549999999998</v>
      </c>
      <c r="N47" s="1">
        <v>19.112079999999999</v>
      </c>
      <c r="O47" s="1">
        <v>132.91300000000001</v>
      </c>
      <c r="P47" s="1">
        <f ca="1">SUM(OFFSET($A$37,10,1,1,14))</f>
        <v>4613.8081089999996</v>
      </c>
      <c r="Q47" s="2">
        <f ca="1">SUM(OFFSET($A$37,10,1,1,12))</f>
        <v>4461.7830289999993</v>
      </c>
    </row>
    <row r="48" spans="1:17" x14ac:dyDescent="0.2">
      <c r="A48" s="1">
        <v>10</v>
      </c>
      <c r="B48" s="1">
        <v>0.47921399999999997</v>
      </c>
      <c r="C48" s="1">
        <v>3.9818530000000001</v>
      </c>
      <c r="D48" s="1">
        <v>39.337940000000003</v>
      </c>
      <c r="E48" s="1">
        <v>72.127110000000002</v>
      </c>
      <c r="F48" s="1">
        <v>41.784399999999998</v>
      </c>
      <c r="G48" s="1">
        <v>16.40127</v>
      </c>
      <c r="H48" s="1">
        <v>59.286360000000002</v>
      </c>
      <c r="I48" s="1">
        <v>33.226759999999999</v>
      </c>
      <c r="J48" s="1">
        <v>198.02590000000001</v>
      </c>
      <c r="K48" s="1">
        <v>308.06849999999997</v>
      </c>
      <c r="L48" s="1">
        <v>8.2325009999999992</v>
      </c>
      <c r="M48" s="1">
        <v>94.740560000000002</v>
      </c>
      <c r="N48" s="1">
        <v>1.985004</v>
      </c>
      <c r="O48" s="1">
        <v>28.933070000000001</v>
      </c>
      <c r="P48" s="1">
        <f ca="1">SUM(OFFSET($A$37,11,1,1,14))</f>
        <v>906.61044199999992</v>
      </c>
      <c r="Q48" s="2">
        <f ca="1">SUM(OFFSET($A$37,11,1,1,12))</f>
        <v>875.69236799999987</v>
      </c>
    </row>
    <row r="49" spans="1:17" x14ac:dyDescent="0.2">
      <c r="A49" s="1">
        <v>11</v>
      </c>
      <c r="B49" s="1">
        <v>3.1579079999999999</v>
      </c>
      <c r="C49" s="1">
        <v>12.913819999999999</v>
      </c>
      <c r="D49" s="1">
        <v>42.956690000000002</v>
      </c>
      <c r="E49" s="1">
        <v>81.552959999999999</v>
      </c>
      <c r="F49" s="1">
        <v>93.073679999999996</v>
      </c>
      <c r="G49" s="1">
        <v>146.2491</v>
      </c>
      <c r="H49" s="1">
        <v>15.36843</v>
      </c>
      <c r="I49" s="1">
        <v>10.65804</v>
      </c>
      <c r="J49" s="1">
        <v>78.669550000000001</v>
      </c>
      <c r="K49" s="1">
        <v>8.2634109999999996</v>
      </c>
      <c r="L49" s="1">
        <v>418.98919999999998</v>
      </c>
      <c r="M49" s="1">
        <v>58.338099999999997</v>
      </c>
      <c r="N49" s="1">
        <v>43.571249999999999</v>
      </c>
      <c r="O49" s="1">
        <v>49.399709999999999</v>
      </c>
      <c r="P49" s="1">
        <f ca="1">SUM(OFFSET($A$37,12,1,1,14))</f>
        <v>1063.1618489999998</v>
      </c>
      <c r="Q49" s="2">
        <f ca="1">SUM(OFFSET($A$37,12,1,1,12))</f>
        <v>970.19088899999997</v>
      </c>
    </row>
    <row r="50" spans="1:17" x14ac:dyDescent="0.2">
      <c r="A50" s="1">
        <v>12</v>
      </c>
      <c r="B50" s="1">
        <v>1.543682</v>
      </c>
      <c r="C50" s="1">
        <v>9.6547009999999993</v>
      </c>
      <c r="D50" s="1">
        <v>44.884300000000003</v>
      </c>
      <c r="E50" s="1">
        <v>92.737899999999996</v>
      </c>
      <c r="F50" s="1">
        <v>95.893280000000004</v>
      </c>
      <c r="G50" s="1">
        <v>67.747479999999996</v>
      </c>
      <c r="H50" s="1">
        <v>47.472189999999998</v>
      </c>
      <c r="I50" s="1">
        <v>42.243119999999998</v>
      </c>
      <c r="J50" s="1">
        <v>430.63560000000001</v>
      </c>
      <c r="K50" s="1">
        <v>92.270870000000002</v>
      </c>
      <c r="L50" s="1">
        <v>55.488529999999997</v>
      </c>
      <c r="M50" s="1">
        <v>671.58010000000002</v>
      </c>
      <c r="N50" s="1">
        <v>39.301740000000002</v>
      </c>
      <c r="O50" s="1">
        <v>240.31379999999999</v>
      </c>
      <c r="P50" s="1">
        <f ca="1">SUM(OFFSET($A$37,13,1,1,14))</f>
        <v>1931.7672930000001</v>
      </c>
      <c r="Q50" s="2">
        <f ca="1">SUM(OFFSET($A$37,13,1,1,12))</f>
        <v>1652.1517530000001</v>
      </c>
    </row>
    <row r="51" spans="1:17" x14ac:dyDescent="0.2">
      <c r="A51" s="1">
        <v>13</v>
      </c>
      <c r="B51" s="1">
        <v>0.45287759999999999</v>
      </c>
      <c r="C51" s="1">
        <v>1.030259</v>
      </c>
      <c r="D51" s="1">
        <v>8.4645770000000002</v>
      </c>
      <c r="E51" s="1">
        <v>10.51723</v>
      </c>
      <c r="F51" s="1">
        <v>11.578860000000001</v>
      </c>
      <c r="G51" s="1">
        <v>25.525040000000001</v>
      </c>
      <c r="H51" s="1">
        <v>2.111891</v>
      </c>
      <c r="I51" s="1">
        <v>2.5581749999999999</v>
      </c>
      <c r="J51" s="1">
        <v>20.234279999999998</v>
      </c>
      <c r="K51" s="1">
        <v>2.0411959999999998</v>
      </c>
      <c r="L51" s="1">
        <v>40.706240000000001</v>
      </c>
      <c r="M51" s="1">
        <v>39.660380000000004</v>
      </c>
      <c r="N51" s="1">
        <v>219.79859999999999</v>
      </c>
      <c r="O51" s="1">
        <v>167.80240000000001</v>
      </c>
      <c r="P51" s="1">
        <f ca="1">SUM(OFFSET($A$37,14,1,1,14))</f>
        <v>552.48200559999998</v>
      </c>
      <c r="Q51" s="2">
        <f ca="1">SUM(OFFSET($A$37,14,1,1,12))</f>
        <v>164.88100559999998</v>
      </c>
    </row>
    <row r="52" spans="1:17" x14ac:dyDescent="0.2">
      <c r="A52" s="1">
        <v>14</v>
      </c>
      <c r="B52" s="1">
        <v>1.2167680000000001</v>
      </c>
      <c r="C52" s="1">
        <v>3.6490279999999999</v>
      </c>
      <c r="D52" s="1">
        <v>25.547049999999999</v>
      </c>
      <c r="E52" s="1">
        <v>37.878160000000001</v>
      </c>
      <c r="F52" s="1">
        <v>65.488709999999998</v>
      </c>
      <c r="G52" s="1">
        <v>43.561729999999997</v>
      </c>
      <c r="H52" s="1">
        <v>12.857609999999999</v>
      </c>
      <c r="I52" s="1">
        <v>10.079650000000001</v>
      </c>
      <c r="J52" s="1">
        <v>149.17500000000001</v>
      </c>
      <c r="K52" s="1">
        <v>29.56878</v>
      </c>
      <c r="L52" s="1">
        <v>47.461579999999998</v>
      </c>
      <c r="M52" s="1">
        <v>246.30969999999999</v>
      </c>
      <c r="N52" s="1">
        <v>165.6397</v>
      </c>
      <c r="O52" s="1">
        <v>1934.0540000000001</v>
      </c>
      <c r="P52" s="1">
        <f ca="1">SUM(OFFSET($A$37,15,1,1,14))</f>
        <v>2772.487466</v>
      </c>
      <c r="Q52" s="2">
        <f ca="1">SUM(OFFSET($A$37,15,1,1,12))</f>
        <v>672.79376600000001</v>
      </c>
    </row>
    <row r="53" spans="1:17" x14ac:dyDescent="0.2">
      <c r="A53" s="1" t="s">
        <v>43</v>
      </c>
      <c r="B53" s="1">
        <f ca="1">SUM(OFFSET($A$37,2,1,14,1))</f>
        <v>337.58800960000008</v>
      </c>
      <c r="C53" s="1">
        <f ca="1">SUM(OFFSET($A$37,2,2,14,1))</f>
        <v>1289.6151580000001</v>
      </c>
      <c r="D53" s="1">
        <f ca="1">SUM(OFFSET($A$37,2,3,14,1))</f>
        <v>2143.2656370000004</v>
      </c>
      <c r="E53" s="1">
        <f ca="1">SUM(OFFSET($A$37,2,4,14,1))</f>
        <v>6399.5889100000013</v>
      </c>
      <c r="F53" s="1">
        <f ca="1">SUM(OFFSET($A$37,2,5,14,1))</f>
        <v>3560.4702699999998</v>
      </c>
      <c r="G53" s="1">
        <f ca="1">SUM(OFFSET($A$37,2,6,14,1))</f>
        <v>2122.4676219999997</v>
      </c>
      <c r="H53" s="1">
        <f ca="1">SUM(OFFSET($A$37,2,7,14,1))</f>
        <v>2608.1400410000001</v>
      </c>
      <c r="I53" s="1">
        <f ca="1">SUM(OFFSET($A$37,2,8,14,1))</f>
        <v>823.718031</v>
      </c>
      <c r="J53" s="1">
        <f ca="1">SUM(OFFSET($A$37,2,9,14,1))</f>
        <v>4585.7308359999997</v>
      </c>
      <c r="K53" s="1">
        <f ca="1">SUM(OFFSET($A$37,2,10,14,1))</f>
        <v>840.47182229999999</v>
      </c>
      <c r="L53" s="1">
        <f ca="1">SUM(OFFSET($A$37,2,11,14,1))</f>
        <v>990.76703199999997</v>
      </c>
      <c r="M53" s="1">
        <f ca="1">SUM(OFFSET($A$37,2,12,14,1))</f>
        <v>1868.5045009999999</v>
      </c>
      <c r="N53" s="1">
        <f ca="1">SUM(OFFSET($A$37,2,13,14,1))</f>
        <v>545.43534369999998</v>
      </c>
      <c r="O53" s="1">
        <f ca="1">SUM(OFFSET($A$37,2,14,14,1))</f>
        <v>2718.1210310000001</v>
      </c>
      <c r="P53" s="1">
        <f ca="1">SUM(OFFSET($A$37,16,1,1,14))</f>
        <v>30833.884244599998</v>
      </c>
      <c r="Q53" s="2">
        <f ca="1">SUM(OFFSET($A$37,16,1,1,12))</f>
        <v>27570.3278699</v>
      </c>
    </row>
    <row r="54" spans="1:17" x14ac:dyDescent="0.2">
      <c r="O54" s="11" t="s">
        <v>59</v>
      </c>
      <c r="P54" s="1">
        <f ca="1">SUM(OFFSET($B$39,0,0,12,12))</f>
        <v>26732.653098300008</v>
      </c>
    </row>
    <row r="55" spans="1:17" x14ac:dyDescent="0.2">
      <c r="A55" s="1" t="s">
        <v>93</v>
      </c>
    </row>
    <row r="56" spans="1:17" x14ac:dyDescent="0.2"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11</v>
      </c>
      <c r="M56" s="1">
        <v>12</v>
      </c>
      <c r="N56" s="1">
        <v>13</v>
      </c>
      <c r="O56" s="1">
        <v>14</v>
      </c>
      <c r="P56" s="1" t="s">
        <v>43</v>
      </c>
      <c r="Q56" s="2" t="s">
        <v>61</v>
      </c>
    </row>
    <row r="57" spans="1:17" x14ac:dyDescent="0.2">
      <c r="A57" s="1">
        <v>1</v>
      </c>
      <c r="B57" s="1">
        <v>267.9357</v>
      </c>
      <c r="C57" s="1">
        <v>413.40499999999997</v>
      </c>
      <c r="D57" s="1">
        <v>1257.08</v>
      </c>
      <c r="E57" s="1">
        <v>243.9211</v>
      </c>
      <c r="F57" s="1">
        <v>52.878079999999997</v>
      </c>
      <c r="G57" s="1">
        <v>8.1142789999999998</v>
      </c>
      <c r="H57" s="1">
        <v>9.8074069999999995</v>
      </c>
      <c r="I57" s="1">
        <v>0.8446475</v>
      </c>
      <c r="J57" s="1">
        <v>2.4503010000000001</v>
      </c>
      <c r="K57" s="1">
        <v>0.2136361</v>
      </c>
      <c r="L57" s="1">
        <v>0.79870050000000004</v>
      </c>
      <c r="M57" s="1">
        <v>1.6782700000000001E-2</v>
      </c>
      <c r="N57" s="1">
        <v>0</v>
      </c>
      <c r="O57" s="1">
        <v>0</v>
      </c>
      <c r="P57" s="1">
        <f ca="1">SUM(OFFSET($A$55,2,1,1,14))</f>
        <v>2257.4656337999991</v>
      </c>
      <c r="Q57" s="2">
        <f ca="1">SUM(OFFSET($A$55,2,1,1,12))</f>
        <v>2257.4656337999991</v>
      </c>
    </row>
    <row r="58" spans="1:17" x14ac:dyDescent="0.2">
      <c r="A58" s="1">
        <v>2</v>
      </c>
      <c r="B58" s="1">
        <v>406.14159999999998</v>
      </c>
      <c r="C58" s="1">
        <v>2955.98</v>
      </c>
      <c r="D58" s="1">
        <v>2530.3290000000002</v>
      </c>
      <c r="E58" s="1">
        <v>995.02110000000005</v>
      </c>
      <c r="F58" s="1">
        <v>430.23480000000001</v>
      </c>
      <c r="G58" s="1">
        <v>72.382350000000002</v>
      </c>
      <c r="H58" s="1">
        <v>43.057659999999998</v>
      </c>
      <c r="I58" s="1">
        <v>4.0989180000000003</v>
      </c>
      <c r="J58" s="1">
        <v>9.8461079999999992</v>
      </c>
      <c r="K58" s="1">
        <v>1.5460499999999999</v>
      </c>
      <c r="L58" s="1">
        <v>6.0165139999999999</v>
      </c>
      <c r="M58" s="1">
        <v>0.26497739999999997</v>
      </c>
      <c r="N58" s="1">
        <v>0</v>
      </c>
      <c r="O58" s="1">
        <v>0</v>
      </c>
      <c r="P58" s="1">
        <f ca="1">SUM(OFFSET($A$55,3,1,1,14))</f>
        <v>7454.9190773999999</v>
      </c>
      <c r="Q58" s="2">
        <f ca="1">SUM(OFFSET($A$55,3,1,1,12))</f>
        <v>7454.9190773999999</v>
      </c>
    </row>
    <row r="59" spans="1:17" x14ac:dyDescent="0.2">
      <c r="A59" s="1">
        <v>3</v>
      </c>
      <c r="B59" s="1">
        <v>800.54280000000006</v>
      </c>
      <c r="C59" s="1">
        <v>1246.1199999999999</v>
      </c>
      <c r="D59" s="1">
        <v>4414.4750000000004</v>
      </c>
      <c r="E59" s="1">
        <v>10919.32</v>
      </c>
      <c r="F59" s="1">
        <v>1540.998</v>
      </c>
      <c r="G59" s="1">
        <v>504.5034</v>
      </c>
      <c r="H59" s="1">
        <v>411.74560000000002</v>
      </c>
      <c r="I59" s="1">
        <v>51.226819999999996</v>
      </c>
      <c r="J59" s="1">
        <v>126.03579999999999</v>
      </c>
      <c r="K59" s="1">
        <v>41.611179999999997</v>
      </c>
      <c r="L59" s="1">
        <v>37.7211</v>
      </c>
      <c r="M59" s="1">
        <v>6.1247369999999997</v>
      </c>
      <c r="N59" s="1">
        <v>0</v>
      </c>
      <c r="O59" s="1">
        <v>0</v>
      </c>
      <c r="P59" s="1">
        <f ca="1">SUM(OFFSET($A$55,4,1,1,14))</f>
        <v>20100.424436999998</v>
      </c>
      <c r="Q59" s="2">
        <f ca="1">SUM(OFFSET($A$55,4,1,1,12))</f>
        <v>20100.424436999998</v>
      </c>
    </row>
    <row r="60" spans="1:17" x14ac:dyDescent="0.2">
      <c r="A60" s="1">
        <v>4</v>
      </c>
      <c r="B60" s="1">
        <v>165.26609999999999</v>
      </c>
      <c r="C60" s="1">
        <v>693.30190000000005</v>
      </c>
      <c r="D60" s="1">
        <v>12304.6</v>
      </c>
      <c r="E60" s="1">
        <v>29640.68</v>
      </c>
      <c r="F60" s="1">
        <v>2731.5720000000001</v>
      </c>
      <c r="G60" s="1">
        <v>302.56970000000001</v>
      </c>
      <c r="H60" s="1">
        <v>1164.4749999999999</v>
      </c>
      <c r="I60" s="1">
        <v>117.97490000000001</v>
      </c>
      <c r="J60" s="1">
        <v>230.39680000000001</v>
      </c>
      <c r="K60" s="1">
        <v>45.943219999999997</v>
      </c>
      <c r="L60" s="1">
        <v>28.07489</v>
      </c>
      <c r="M60" s="1">
        <v>10.202769999999999</v>
      </c>
      <c r="N60" s="1">
        <v>0</v>
      </c>
      <c r="O60" s="1">
        <v>0</v>
      </c>
      <c r="P60" s="1">
        <f ca="1">SUM(OFFSET($A$55,5,1,1,14))</f>
        <v>47435.057280000008</v>
      </c>
      <c r="Q60" s="2">
        <f ca="1">SUM(OFFSET($A$55,5,1,1,12))</f>
        <v>47435.057280000008</v>
      </c>
    </row>
    <row r="61" spans="1:17" x14ac:dyDescent="0.2">
      <c r="A61" s="1">
        <v>5</v>
      </c>
      <c r="B61" s="1">
        <v>40.580159999999999</v>
      </c>
      <c r="C61" s="1">
        <v>376.70409999999998</v>
      </c>
      <c r="D61" s="1">
        <v>2030.4949999999999</v>
      </c>
      <c r="E61" s="1">
        <v>2803.5</v>
      </c>
      <c r="F61" s="1">
        <v>4564.9160000000002</v>
      </c>
      <c r="G61" s="1">
        <v>835.96939999999995</v>
      </c>
      <c r="H61" s="1">
        <v>483.46339999999998</v>
      </c>
      <c r="I61" s="1">
        <v>172.9639</v>
      </c>
      <c r="J61" s="1">
        <v>296.1026</v>
      </c>
      <c r="K61" s="1">
        <v>26.32536</v>
      </c>
      <c r="L61" s="1">
        <v>85.132900000000006</v>
      </c>
      <c r="M61" s="1">
        <v>27.509229999999999</v>
      </c>
      <c r="N61" s="1">
        <v>0</v>
      </c>
      <c r="O61" s="1">
        <v>0</v>
      </c>
      <c r="P61" s="1">
        <f ca="1">SUM(OFFSET($A$55,6,1,1,14))</f>
        <v>11743.662050000003</v>
      </c>
      <c r="Q61" s="2">
        <f ca="1">SUM(OFFSET($A$55,6,1,1,12))</f>
        <v>11743.662050000003</v>
      </c>
    </row>
    <row r="62" spans="1:17" x14ac:dyDescent="0.2">
      <c r="A62" s="1">
        <v>6</v>
      </c>
      <c r="B62" s="1">
        <v>8.8413360000000001</v>
      </c>
      <c r="C62" s="1">
        <v>71.932760000000002</v>
      </c>
      <c r="D62" s="1">
        <v>855.63599999999997</v>
      </c>
      <c r="E62" s="1">
        <v>409.9117</v>
      </c>
      <c r="F62" s="1">
        <v>933.99120000000005</v>
      </c>
      <c r="G62" s="1">
        <v>3146.4319999999998</v>
      </c>
      <c r="H62" s="1">
        <v>52.739330000000002</v>
      </c>
      <c r="I62" s="1">
        <v>23.775880000000001</v>
      </c>
      <c r="J62" s="1">
        <v>93.145179999999996</v>
      </c>
      <c r="K62" s="1">
        <v>6.0586190000000002</v>
      </c>
      <c r="L62" s="1">
        <v>488.09730000000002</v>
      </c>
      <c r="M62" s="1">
        <v>45.682920000000003</v>
      </c>
      <c r="N62" s="1">
        <v>0</v>
      </c>
      <c r="O62" s="1">
        <v>0</v>
      </c>
      <c r="P62" s="1">
        <f ca="1">SUM(OFFSET($A$55,7,1,1,14))</f>
        <v>6136.2442250000013</v>
      </c>
      <c r="Q62" s="2">
        <f ca="1">SUM(OFFSET($A$55,7,1,1,12))</f>
        <v>6136.2442250000013</v>
      </c>
    </row>
    <row r="63" spans="1:17" x14ac:dyDescent="0.2">
      <c r="A63" s="1">
        <v>7</v>
      </c>
      <c r="B63" s="1">
        <v>8.8208579999999994</v>
      </c>
      <c r="C63" s="1">
        <v>37.015770000000003</v>
      </c>
      <c r="D63" s="1">
        <v>691.66660000000002</v>
      </c>
      <c r="E63" s="1">
        <v>1397.48</v>
      </c>
      <c r="F63" s="1">
        <v>482.464</v>
      </c>
      <c r="G63" s="1">
        <v>49.818089999999998</v>
      </c>
      <c r="H63" s="1">
        <v>4025.7220000000002</v>
      </c>
      <c r="I63" s="1">
        <v>218.25700000000001</v>
      </c>
      <c r="J63" s="1">
        <v>376.86599999999999</v>
      </c>
      <c r="K63" s="1">
        <v>100.97239999999999</v>
      </c>
      <c r="L63" s="1">
        <v>6.4469599999999998</v>
      </c>
      <c r="M63" s="1">
        <v>21.20712</v>
      </c>
      <c r="N63" s="1">
        <v>0</v>
      </c>
      <c r="O63" s="1">
        <v>0</v>
      </c>
      <c r="P63" s="1">
        <f ca="1">SUM(OFFSET($A$55,8,1,1,14))</f>
        <v>7416.7367979999999</v>
      </c>
      <c r="Q63" s="2">
        <f ca="1">SUM(OFFSET($A$55,8,1,1,12))</f>
        <v>7416.7367979999999</v>
      </c>
    </row>
    <row r="64" spans="1:17" x14ac:dyDescent="0.2">
      <c r="A64" s="1">
        <v>8</v>
      </c>
      <c r="B64" s="1">
        <v>0.82386510000000002</v>
      </c>
      <c r="C64" s="1">
        <v>3.7385570000000001</v>
      </c>
      <c r="D64" s="1">
        <v>100.80540000000001</v>
      </c>
      <c r="E64" s="1">
        <v>148.28540000000001</v>
      </c>
      <c r="F64" s="1">
        <v>175.309</v>
      </c>
      <c r="G64" s="1">
        <v>20.15719</v>
      </c>
      <c r="H64" s="1">
        <v>266.98719999999997</v>
      </c>
      <c r="I64" s="1">
        <v>490.82139999999998</v>
      </c>
      <c r="J64" s="1">
        <v>479.03789999999998</v>
      </c>
      <c r="K64" s="1">
        <v>53.967799999999997</v>
      </c>
      <c r="L64" s="1">
        <v>4.8509599999999997</v>
      </c>
      <c r="M64" s="1">
        <v>28.294789999999999</v>
      </c>
      <c r="N64" s="1">
        <v>0</v>
      </c>
      <c r="O64" s="1">
        <v>4.6118000000000001E-3</v>
      </c>
      <c r="P64" s="1">
        <f ca="1">SUM(OFFSET($A$55,9,1,1,14))</f>
        <v>1773.0840738999998</v>
      </c>
      <c r="Q64" s="2">
        <f ca="1">SUM(OFFSET($A$55,9,1,1,12))</f>
        <v>1773.0794620999998</v>
      </c>
    </row>
    <row r="65" spans="1:17" x14ac:dyDescent="0.2">
      <c r="A65" s="1">
        <v>9</v>
      </c>
      <c r="B65" s="1">
        <v>1.7233849999999999</v>
      </c>
      <c r="C65" s="1">
        <v>7.2370840000000003</v>
      </c>
      <c r="D65" s="1">
        <v>193.7782</v>
      </c>
      <c r="E65" s="1">
        <v>268.78960000000001</v>
      </c>
      <c r="F65" s="1">
        <v>291.66000000000003</v>
      </c>
      <c r="G65" s="1">
        <v>86.377399999999994</v>
      </c>
      <c r="H65" s="1">
        <v>320.92579999999998</v>
      </c>
      <c r="I65" s="1">
        <v>433.98379999999997</v>
      </c>
      <c r="J65" s="1">
        <v>6691.9279999999999</v>
      </c>
      <c r="K65" s="1">
        <v>545.54849999999999</v>
      </c>
      <c r="L65" s="1">
        <v>100.70950000000001</v>
      </c>
      <c r="M65" s="1">
        <v>919.0761</v>
      </c>
      <c r="N65" s="1">
        <v>7.0275500000000005E-2</v>
      </c>
      <c r="O65" s="1">
        <v>18.91047</v>
      </c>
      <c r="P65" s="1">
        <f ca="1">SUM(OFFSET($A$55,10,1,1,14))</f>
        <v>9880.7181145000031</v>
      </c>
      <c r="Q65" s="2">
        <f ca="1">SUM(OFFSET($A$55,10,1,1,12))</f>
        <v>9861.7373690000022</v>
      </c>
    </row>
    <row r="66" spans="1:17" x14ac:dyDescent="0.2">
      <c r="A66" s="1">
        <v>10</v>
      </c>
      <c r="B66" s="1">
        <v>0.2310604</v>
      </c>
      <c r="C66" s="1">
        <v>1.7152149999999999</v>
      </c>
      <c r="D66" s="1">
        <v>84.131389999999996</v>
      </c>
      <c r="E66" s="1">
        <v>71.016080000000002</v>
      </c>
      <c r="F66" s="1">
        <v>33.088900000000002</v>
      </c>
      <c r="G66" s="1">
        <v>5.7905889999999998</v>
      </c>
      <c r="H66" s="1">
        <v>115.2129</v>
      </c>
      <c r="I66" s="1">
        <v>47.691830000000003</v>
      </c>
      <c r="J66" s="1">
        <v>586.9067</v>
      </c>
      <c r="K66" s="1">
        <v>874.38019999999995</v>
      </c>
      <c r="L66" s="1">
        <v>4.7014430000000003</v>
      </c>
      <c r="M66" s="1">
        <v>108.31829999999999</v>
      </c>
      <c r="N66" s="1">
        <v>0</v>
      </c>
      <c r="O66" s="1">
        <v>0.49681779999999998</v>
      </c>
      <c r="P66" s="1">
        <f ca="1">SUM(OFFSET($A$55,11,1,1,14))</f>
        <v>1933.6814251999997</v>
      </c>
      <c r="Q66" s="2">
        <f ca="1">SUM(OFFSET($A$55,11,1,1,12))</f>
        <v>1933.1846073999998</v>
      </c>
    </row>
    <row r="67" spans="1:17" x14ac:dyDescent="0.2">
      <c r="A67" s="1">
        <v>11</v>
      </c>
      <c r="B67" s="1">
        <v>1.0905180000000001</v>
      </c>
      <c r="C67" s="1">
        <v>7.2647069999999996</v>
      </c>
      <c r="D67" s="1">
        <v>77.986639999999994</v>
      </c>
      <c r="E67" s="1">
        <v>46.437109999999997</v>
      </c>
      <c r="F67" s="1">
        <v>116.1292</v>
      </c>
      <c r="G67" s="1">
        <v>330.00689999999997</v>
      </c>
      <c r="H67" s="1">
        <v>6.999511</v>
      </c>
      <c r="I67" s="1">
        <v>6.4101840000000001</v>
      </c>
      <c r="J67" s="1">
        <v>90.095219999999998</v>
      </c>
      <c r="K67" s="1">
        <v>2.522796</v>
      </c>
      <c r="L67" s="1">
        <v>939.38760000000002</v>
      </c>
      <c r="M67" s="1">
        <v>70.996480000000005</v>
      </c>
      <c r="N67" s="1">
        <v>0</v>
      </c>
      <c r="O67" s="1">
        <v>0.41052729999999998</v>
      </c>
      <c r="P67" s="1">
        <f ca="1">SUM(OFFSET($A$55,12,1,1,14))</f>
        <v>1695.7373933000001</v>
      </c>
      <c r="Q67" s="2">
        <f ca="1">SUM(OFFSET($A$55,12,1,1,12))</f>
        <v>1695.3268660000001</v>
      </c>
    </row>
    <row r="68" spans="1:17" x14ac:dyDescent="0.2">
      <c r="A68" s="1">
        <v>12</v>
      </c>
      <c r="B68" s="1">
        <v>2.4828300000000001E-2</v>
      </c>
      <c r="C68" s="1">
        <v>1.023663</v>
      </c>
      <c r="D68" s="1">
        <v>17.52956</v>
      </c>
      <c r="E68" s="1">
        <v>14.7719</v>
      </c>
      <c r="F68" s="1">
        <v>36.9636</v>
      </c>
      <c r="G68" s="1">
        <v>49.127110000000002</v>
      </c>
      <c r="H68" s="1">
        <v>20.085509999999999</v>
      </c>
      <c r="I68" s="1">
        <v>24.74399</v>
      </c>
      <c r="J68" s="1">
        <v>910.93870000000004</v>
      </c>
      <c r="K68" s="1">
        <v>103.4556</v>
      </c>
      <c r="L68" s="1">
        <v>82.090689999999995</v>
      </c>
      <c r="M68" s="1">
        <v>1658.529</v>
      </c>
      <c r="N68" s="1">
        <v>2.280287</v>
      </c>
      <c r="O68" s="1">
        <v>71.246409999999997</v>
      </c>
      <c r="P68" s="1">
        <f ca="1">SUM(OFFSET($A$55,13,1,1,14))</f>
        <v>2992.8108483000005</v>
      </c>
      <c r="Q68" s="2">
        <f ca="1">SUM(OFFSET($A$55,13,1,1,12))</f>
        <v>2919.2841513000003</v>
      </c>
    </row>
    <row r="69" spans="1:17" x14ac:dyDescent="0.2">
      <c r="A69" s="1">
        <v>13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3.5081999999999999E-3</v>
      </c>
      <c r="K69" s="1">
        <v>0</v>
      </c>
      <c r="L69" s="1">
        <v>0</v>
      </c>
      <c r="M69" s="1">
        <v>1.2671060000000001</v>
      </c>
      <c r="N69" s="1">
        <v>236.6472</v>
      </c>
      <c r="O69" s="1">
        <v>139.19229999999999</v>
      </c>
      <c r="P69" s="1">
        <f ca="1">SUM(OFFSET($A$55,14,1,1,14))</f>
        <v>377.1101142</v>
      </c>
      <c r="Q69" s="2">
        <f ca="1">SUM(OFFSET($A$55,14,1,1,12))</f>
        <v>1.2706142</v>
      </c>
    </row>
    <row r="70" spans="1:17" x14ac:dyDescent="0.2">
      <c r="A70" s="1">
        <v>14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10.116379999999999</v>
      </c>
      <c r="K70" s="1">
        <v>0</v>
      </c>
      <c r="L70" s="1">
        <v>6.8630999999999996E-3</v>
      </c>
      <c r="M70" s="1">
        <v>58.822119999999998</v>
      </c>
      <c r="N70" s="1">
        <v>141.61060000000001</v>
      </c>
      <c r="O70" s="1">
        <v>2875.1640000000002</v>
      </c>
      <c r="P70" s="1">
        <f ca="1">SUM(OFFSET($A$55,15,1,1,14))</f>
        <v>3085.7199631000003</v>
      </c>
      <c r="Q70" s="2">
        <f ca="1">SUM(OFFSET($A$55,15,1,1,12))</f>
        <v>68.945363099999994</v>
      </c>
    </row>
    <row r="71" spans="1:17" x14ac:dyDescent="0.2">
      <c r="A71" s="1" t="s">
        <v>43</v>
      </c>
      <c r="B71" s="1">
        <f ca="1">SUM(OFFSET($A$55,2,1,14,1))</f>
        <v>1702.0222108</v>
      </c>
      <c r="C71" s="1">
        <f ca="1">SUM(OFFSET($A$55,2,2,14,1))</f>
        <v>5815.4387560000005</v>
      </c>
      <c r="D71" s="1">
        <f ca="1">SUM(OFFSET($A$55,2,3,14,1))</f>
        <v>24558.512789999997</v>
      </c>
      <c r="E71" s="1">
        <f ca="1">SUM(OFFSET($A$55,2,4,14,1))</f>
        <v>46959.133989999995</v>
      </c>
      <c r="F71" s="1">
        <f ca="1">SUM(OFFSET($A$55,2,5,14,1))</f>
        <v>11390.20478</v>
      </c>
      <c r="G71" s="1">
        <f ca="1">SUM(OFFSET($A$55,2,6,14,1))</f>
        <v>5411.2484080000004</v>
      </c>
      <c r="H71" s="1">
        <f ca="1">SUM(OFFSET($A$55,2,7,14,1))</f>
        <v>6921.2213179999999</v>
      </c>
      <c r="I71" s="1">
        <f ca="1">SUM(OFFSET($A$55,2,8,14,1))</f>
        <v>1592.7932695</v>
      </c>
      <c r="J71" s="1">
        <f ca="1">SUM(OFFSET($A$55,2,9,14,1))</f>
        <v>9903.8691971999979</v>
      </c>
      <c r="K71" s="1">
        <f ca="1">SUM(OFFSET($A$55,2,10,14,1))</f>
        <v>1802.5453610999998</v>
      </c>
      <c r="L71" s="1">
        <f ca="1">SUM(OFFSET($A$55,2,11,14,1))</f>
        <v>1784.0354206</v>
      </c>
      <c r="M71" s="1">
        <f ca="1">SUM(OFFSET($A$55,2,12,14,1))</f>
        <v>2956.3124330999995</v>
      </c>
      <c r="N71" s="1">
        <f ca="1">SUM(OFFSET($A$55,2,13,14,1))</f>
        <v>380.6083625</v>
      </c>
      <c r="O71" s="1">
        <f ca="1">SUM(OFFSET($A$55,2,14,14,1))</f>
        <v>3105.4251369000003</v>
      </c>
      <c r="P71" s="1">
        <f ca="1">SUM(OFFSET($A$55,16,1,1,14))</f>
        <v>124283.3714337</v>
      </c>
      <c r="Q71" s="2">
        <f ca="1">SUM(OFFSET($A$55,16,1,1,12))</f>
        <v>120797.3379343</v>
      </c>
    </row>
    <row r="72" spans="1:17" x14ac:dyDescent="0.2">
      <c r="O72" s="11" t="s">
        <v>59</v>
      </c>
      <c r="P72" s="1">
        <f ca="1">SUM(OFFSET($B$57,0,0,12,12))</f>
        <v>120727.12195699998</v>
      </c>
    </row>
    <row r="73" spans="1:17" x14ac:dyDescent="0.2">
      <c r="A73" s="1" t="s">
        <v>95</v>
      </c>
    </row>
    <row r="74" spans="1:17" x14ac:dyDescent="0.2">
      <c r="B74" s="1">
        <v>1</v>
      </c>
      <c r="C74" s="1">
        <v>2</v>
      </c>
      <c r="D74" s="1">
        <v>3</v>
      </c>
      <c r="E74" s="1">
        <v>4</v>
      </c>
      <c r="F74" s="1">
        <v>5</v>
      </c>
      <c r="G74" s="1">
        <v>6</v>
      </c>
      <c r="H74" s="1">
        <v>7</v>
      </c>
      <c r="I74" s="1">
        <v>8</v>
      </c>
      <c r="J74" s="1">
        <v>9</v>
      </c>
      <c r="K74" s="1">
        <v>10</v>
      </c>
      <c r="L74" s="1">
        <v>11</v>
      </c>
      <c r="M74" s="1">
        <v>12</v>
      </c>
      <c r="N74" s="1">
        <v>13</v>
      </c>
      <c r="O74" s="1">
        <v>14</v>
      </c>
      <c r="P74" s="1" t="s">
        <v>43</v>
      </c>
      <c r="Q74" s="2" t="s">
        <v>61</v>
      </c>
    </row>
    <row r="75" spans="1:17" x14ac:dyDescent="0.2">
      <c r="A75" s="1">
        <v>1</v>
      </c>
      <c r="B75" s="1">
        <v>0</v>
      </c>
      <c r="C75" s="1">
        <v>21.805050000000001</v>
      </c>
      <c r="D75" s="1">
        <v>529.86159999999995</v>
      </c>
      <c r="E75" s="1">
        <v>318.34719999999999</v>
      </c>
      <c r="F75" s="1">
        <v>170.36510000000001</v>
      </c>
      <c r="G75" s="1">
        <v>30.739719999999998</v>
      </c>
      <c r="H75" s="1">
        <v>61.301070000000003</v>
      </c>
      <c r="I75" s="1">
        <v>3.3730880000000001</v>
      </c>
      <c r="J75" s="1">
        <v>43.009540000000001</v>
      </c>
      <c r="K75" s="1">
        <v>1.216159</v>
      </c>
      <c r="L75" s="1">
        <v>5.9906899999999998</v>
      </c>
      <c r="M75" s="1">
        <v>2.1607850000000002</v>
      </c>
      <c r="N75" s="1">
        <v>0</v>
      </c>
      <c r="O75" s="1">
        <v>0</v>
      </c>
      <c r="P75" s="1">
        <f ca="1">SUM(OFFSET($A$73,2,1,1,14))</f>
        <v>1188.1700020000003</v>
      </c>
      <c r="Q75" s="2">
        <f ca="1">SUM(OFFSET($A$73,2,1,1,12))</f>
        <v>1188.1700020000003</v>
      </c>
    </row>
    <row r="76" spans="1:17" x14ac:dyDescent="0.2">
      <c r="A76" s="1">
        <v>2</v>
      </c>
      <c r="B76" s="1">
        <v>0</v>
      </c>
      <c r="C76" s="1">
        <v>0</v>
      </c>
      <c r="D76" s="1">
        <v>3119.4450000000002</v>
      </c>
      <c r="E76" s="1">
        <v>1004.951</v>
      </c>
      <c r="F76" s="1">
        <v>690.13379999999995</v>
      </c>
      <c r="G76" s="1">
        <v>171.86170000000001</v>
      </c>
      <c r="H76" s="1">
        <v>151.12020000000001</v>
      </c>
      <c r="I76" s="1">
        <v>12.078480000000001</v>
      </c>
      <c r="J76" s="1">
        <v>170.22909999999999</v>
      </c>
      <c r="K76" s="1">
        <v>8.0953689999999998</v>
      </c>
      <c r="L76" s="1">
        <v>23.863769999999999</v>
      </c>
      <c r="M76" s="1">
        <v>13.90903</v>
      </c>
      <c r="N76" s="1">
        <v>0</v>
      </c>
      <c r="O76" s="1">
        <v>0</v>
      </c>
      <c r="P76" s="1">
        <f ca="1">SUM(OFFSET($A$73,3,1,1,14))</f>
        <v>5365.687449</v>
      </c>
      <c r="Q76" s="2">
        <f ca="1">SUM(OFFSET($A$73,3,1,1,12))</f>
        <v>5365.687449</v>
      </c>
    </row>
    <row r="77" spans="1:17" x14ac:dyDescent="0.2">
      <c r="A77" s="1">
        <v>3</v>
      </c>
      <c r="B77" s="1">
        <v>214.44589999999999</v>
      </c>
      <c r="C77" s="1">
        <v>2553.4520000000002</v>
      </c>
      <c r="D77" s="1">
        <v>2486.422</v>
      </c>
      <c r="E77" s="1">
        <v>14209.7</v>
      </c>
      <c r="F77" s="1">
        <v>8075.6610000000001</v>
      </c>
      <c r="G77" s="1">
        <v>2563.8449999999998</v>
      </c>
      <c r="H77" s="1">
        <v>3790.72</v>
      </c>
      <c r="I77" s="1">
        <v>296.26479999999998</v>
      </c>
      <c r="J77" s="1">
        <v>3674.982</v>
      </c>
      <c r="K77" s="1">
        <v>375.58980000000003</v>
      </c>
      <c r="L77" s="1">
        <v>329.13400000000001</v>
      </c>
      <c r="M77" s="1">
        <v>225.41329999999999</v>
      </c>
      <c r="N77" s="1">
        <v>0</v>
      </c>
      <c r="O77" s="1">
        <v>1.0599909999999999</v>
      </c>
      <c r="P77" s="1">
        <f ca="1">SUM(OFFSET($A$73,4,1,1,14))</f>
        <v>38796.689791000004</v>
      </c>
      <c r="Q77" s="2">
        <f ca="1">SUM(OFFSET($A$73,4,1,1,12))</f>
        <v>38795.629800000002</v>
      </c>
    </row>
    <row r="78" spans="1:17" x14ac:dyDescent="0.2">
      <c r="A78" s="1">
        <v>4</v>
      </c>
      <c r="B78" s="1">
        <v>468.71140000000003</v>
      </c>
      <c r="C78" s="1">
        <v>1377.4390000000001</v>
      </c>
      <c r="D78" s="1">
        <v>20099.240000000002</v>
      </c>
      <c r="E78" s="1">
        <v>7906.4520000000002</v>
      </c>
      <c r="F78" s="1">
        <v>7486.9870000000001</v>
      </c>
      <c r="G78" s="1">
        <v>1488.972</v>
      </c>
      <c r="H78" s="1">
        <v>5018.732</v>
      </c>
      <c r="I78" s="1">
        <v>291.24299999999999</v>
      </c>
      <c r="J78" s="1">
        <v>2530.181</v>
      </c>
      <c r="K78" s="1">
        <v>227.7328</v>
      </c>
      <c r="L78" s="1">
        <v>196.2542</v>
      </c>
      <c r="M78" s="1">
        <v>148.29949999999999</v>
      </c>
      <c r="N78" s="1">
        <v>0</v>
      </c>
      <c r="O78" s="1">
        <v>0.48345519999999997</v>
      </c>
      <c r="P78" s="1">
        <f ca="1">SUM(OFFSET($A$73,5,1,1,14))</f>
        <v>47240.727355200004</v>
      </c>
      <c r="Q78" s="2">
        <f ca="1">SUM(OFFSET($A$73,5,1,1,12))</f>
        <v>47240.243900000001</v>
      </c>
    </row>
    <row r="79" spans="1:17" x14ac:dyDescent="0.2">
      <c r="A79" s="1">
        <v>5</v>
      </c>
      <c r="B79" s="1">
        <v>230.85249999999999</v>
      </c>
      <c r="C79" s="1">
        <v>943.36680000000001</v>
      </c>
      <c r="D79" s="1">
        <v>11554.22</v>
      </c>
      <c r="E79" s="1">
        <v>8006.7150000000001</v>
      </c>
      <c r="F79" s="1">
        <v>9435.777</v>
      </c>
      <c r="G79" s="1">
        <v>3031.3629999999998</v>
      </c>
      <c r="H79" s="1">
        <v>1478.777</v>
      </c>
      <c r="I79" s="1">
        <v>355.8886</v>
      </c>
      <c r="J79" s="1">
        <v>3843.4580000000001</v>
      </c>
      <c r="K79" s="1">
        <v>247.4</v>
      </c>
      <c r="L79" s="1">
        <v>426.9692</v>
      </c>
      <c r="M79" s="1">
        <v>347.22300000000001</v>
      </c>
      <c r="N79" s="1">
        <v>0</v>
      </c>
      <c r="O79" s="1">
        <v>11.928459999999999</v>
      </c>
      <c r="P79" s="1">
        <f ca="1">SUM(OFFSET($A$73,6,1,1,14))</f>
        <v>39913.938560000002</v>
      </c>
      <c r="Q79" s="2">
        <f ca="1">SUM(OFFSET($A$73,6,1,1,12))</f>
        <v>39902.0101</v>
      </c>
    </row>
    <row r="80" spans="1:17" x14ac:dyDescent="0.2">
      <c r="A80" s="1">
        <v>6</v>
      </c>
      <c r="B80" s="1">
        <v>42.326970000000003</v>
      </c>
      <c r="C80" s="1">
        <v>250.2903</v>
      </c>
      <c r="D80" s="1">
        <v>4484.3710000000001</v>
      </c>
      <c r="E80" s="1">
        <v>1567.009</v>
      </c>
      <c r="F80" s="1">
        <v>2844.096</v>
      </c>
      <c r="G80" s="1">
        <v>733.04859999999996</v>
      </c>
      <c r="H80" s="1">
        <v>248.2533</v>
      </c>
      <c r="I80" s="1">
        <v>68.588030000000003</v>
      </c>
      <c r="J80" s="1">
        <v>822.12860000000001</v>
      </c>
      <c r="K80" s="1">
        <v>52.273980000000002</v>
      </c>
      <c r="L80" s="1">
        <v>11.627409999999999</v>
      </c>
      <c r="M80" s="1">
        <v>98.808840000000004</v>
      </c>
      <c r="N80" s="1">
        <v>0</v>
      </c>
      <c r="O80" s="1">
        <v>1.9621029999999999</v>
      </c>
      <c r="P80" s="1">
        <f ca="1">SUM(OFFSET($A$73,7,1,1,14))</f>
        <v>11224.784132999999</v>
      </c>
      <c r="Q80" s="2">
        <f ca="1">SUM(OFFSET($A$73,7,1,1,12))</f>
        <v>11222.822029999999</v>
      </c>
    </row>
    <row r="81" spans="1:17" x14ac:dyDescent="0.2">
      <c r="A81" s="1">
        <v>7</v>
      </c>
      <c r="B81" s="1">
        <v>72.315100000000001</v>
      </c>
      <c r="C81" s="1">
        <v>168.44970000000001</v>
      </c>
      <c r="D81" s="1">
        <v>5286.701</v>
      </c>
      <c r="E81" s="1">
        <v>4518.8900000000003</v>
      </c>
      <c r="F81" s="1">
        <v>1350.384</v>
      </c>
      <c r="G81" s="1">
        <v>209.7183</v>
      </c>
      <c r="H81" s="1">
        <v>1597.0989999999999</v>
      </c>
      <c r="I81" s="1">
        <v>125.3674</v>
      </c>
      <c r="J81" s="1">
        <v>757.23739999999998</v>
      </c>
      <c r="K81" s="1">
        <v>139.08179999999999</v>
      </c>
      <c r="L81" s="1">
        <v>31.2195</v>
      </c>
      <c r="M81" s="1">
        <v>65.582660000000004</v>
      </c>
      <c r="N81" s="1">
        <v>0</v>
      </c>
      <c r="O81" s="1">
        <v>0</v>
      </c>
      <c r="P81" s="1">
        <f ca="1">SUM(OFFSET($A$73,8,1,1,14))</f>
        <v>14322.04586</v>
      </c>
      <c r="Q81" s="2">
        <f ca="1">SUM(OFFSET($A$73,8,1,1,12))</f>
        <v>14322.04586</v>
      </c>
    </row>
    <row r="82" spans="1:17" x14ac:dyDescent="0.2">
      <c r="A82" s="1">
        <v>8</v>
      </c>
      <c r="B82" s="1">
        <v>5.6374740000000001</v>
      </c>
      <c r="C82" s="1">
        <v>19.701039999999999</v>
      </c>
      <c r="D82" s="1">
        <v>569.32550000000003</v>
      </c>
      <c r="E82" s="1">
        <v>328.77249999999998</v>
      </c>
      <c r="F82" s="1">
        <v>421.11989999999997</v>
      </c>
      <c r="G82" s="1">
        <v>91.190860000000001</v>
      </c>
      <c r="H82" s="1">
        <v>136.3826</v>
      </c>
      <c r="I82" s="1">
        <v>5.9466530000000004</v>
      </c>
      <c r="J82" s="1">
        <v>330.31349999999998</v>
      </c>
      <c r="K82" s="1">
        <v>20.820799999999998</v>
      </c>
      <c r="L82" s="1">
        <v>19.545190000000002</v>
      </c>
      <c r="M82" s="1">
        <v>46.490729999999999</v>
      </c>
      <c r="N82" s="1">
        <v>0</v>
      </c>
      <c r="O82" s="1">
        <v>0.169373</v>
      </c>
      <c r="P82" s="1">
        <f ca="1">SUM(OFFSET($A$73,9,1,1,14))</f>
        <v>1995.4161199999996</v>
      </c>
      <c r="Q82" s="2">
        <f ca="1">SUM(OFFSET($A$73,9,1,1,12))</f>
        <v>1995.2467469999997</v>
      </c>
    </row>
    <row r="83" spans="1:17" x14ac:dyDescent="0.2">
      <c r="A83" s="1">
        <v>9</v>
      </c>
      <c r="B83" s="1">
        <v>60.081829999999997</v>
      </c>
      <c r="C83" s="1">
        <v>237.95760000000001</v>
      </c>
      <c r="D83" s="1">
        <v>6157.5209999999997</v>
      </c>
      <c r="E83" s="1">
        <v>2781.18</v>
      </c>
      <c r="F83" s="1">
        <v>4035.9720000000002</v>
      </c>
      <c r="G83" s="1">
        <v>943.97820000000002</v>
      </c>
      <c r="H83" s="1">
        <v>960.05259999999998</v>
      </c>
      <c r="I83" s="1">
        <v>324.1694</v>
      </c>
      <c r="J83" s="1">
        <v>2599.777</v>
      </c>
      <c r="K83" s="1">
        <v>68.901409999999998</v>
      </c>
      <c r="L83" s="1">
        <v>106.2255</v>
      </c>
      <c r="M83" s="1">
        <v>133.73759999999999</v>
      </c>
      <c r="N83" s="1">
        <v>0</v>
      </c>
      <c r="O83" s="1">
        <v>5.0868820000000001</v>
      </c>
      <c r="P83" s="1">
        <f ca="1">SUM(OFFSET($A$73,10,1,1,14))</f>
        <v>18414.641022</v>
      </c>
      <c r="Q83" s="2">
        <f ca="1">SUM(OFFSET($A$73,10,1,1,12))</f>
        <v>18409.55414</v>
      </c>
    </row>
    <row r="84" spans="1:17" x14ac:dyDescent="0.2">
      <c r="A84" s="1">
        <v>10</v>
      </c>
      <c r="B84" s="1">
        <v>1.8932260000000001</v>
      </c>
      <c r="C84" s="1">
        <v>13.04588</v>
      </c>
      <c r="D84" s="1">
        <v>681.10760000000005</v>
      </c>
      <c r="E84" s="1">
        <v>214.2055</v>
      </c>
      <c r="F84" s="1">
        <v>281.95339999999999</v>
      </c>
      <c r="G84" s="1">
        <v>65.343500000000006</v>
      </c>
      <c r="H84" s="1">
        <v>142.04640000000001</v>
      </c>
      <c r="I84" s="1">
        <v>33.184019999999997</v>
      </c>
      <c r="J84" s="1">
        <v>89.074219999999997</v>
      </c>
      <c r="K84" s="1">
        <v>0</v>
      </c>
      <c r="L84" s="1">
        <v>2.6059809999999999</v>
      </c>
      <c r="M84" s="1">
        <v>0</v>
      </c>
      <c r="N84" s="1">
        <v>0</v>
      </c>
      <c r="O84" s="1">
        <v>0</v>
      </c>
      <c r="P84" s="1">
        <f ca="1">SUM(OFFSET($A$73,11,1,1,14))</f>
        <v>1524.4597269999997</v>
      </c>
      <c r="Q84" s="2">
        <f ca="1">SUM(OFFSET($A$73,11,1,1,12))</f>
        <v>1524.4597269999997</v>
      </c>
    </row>
    <row r="85" spans="1:17" x14ac:dyDescent="0.2">
      <c r="A85" s="1">
        <v>11</v>
      </c>
      <c r="B85" s="1">
        <v>9.1773559999999996</v>
      </c>
      <c r="C85" s="1">
        <v>39.573259999999998</v>
      </c>
      <c r="D85" s="1">
        <v>681.87819999999999</v>
      </c>
      <c r="E85" s="1">
        <v>217.81819999999999</v>
      </c>
      <c r="F85" s="1">
        <v>329.38150000000002</v>
      </c>
      <c r="G85" s="1">
        <v>647.71680000000003</v>
      </c>
      <c r="H85" s="1">
        <v>41.996209999999998</v>
      </c>
      <c r="I85" s="1">
        <v>12.160410000000001</v>
      </c>
      <c r="J85" s="1">
        <v>117.182</v>
      </c>
      <c r="K85" s="1">
        <v>7.0550610000000002</v>
      </c>
      <c r="L85" s="1">
        <v>58.748669999999997</v>
      </c>
      <c r="M85" s="1">
        <v>5.4351229999999999</v>
      </c>
      <c r="N85" s="1">
        <v>0</v>
      </c>
      <c r="O85" s="1">
        <v>0</v>
      </c>
      <c r="P85" s="1">
        <f ca="1">SUM(OFFSET($A$73,12,1,1,14))</f>
        <v>2168.1227900000004</v>
      </c>
      <c r="Q85" s="2">
        <f ca="1">SUM(OFFSET($A$73,12,1,1,12))</f>
        <v>2168.1227900000004</v>
      </c>
    </row>
    <row r="86" spans="1:17" x14ac:dyDescent="0.2">
      <c r="A86" s="1">
        <v>12</v>
      </c>
      <c r="B86" s="1">
        <v>2.6591230000000001</v>
      </c>
      <c r="C86" s="1">
        <v>17.675049999999999</v>
      </c>
      <c r="D86" s="1">
        <v>398.89620000000002</v>
      </c>
      <c r="E86" s="1">
        <v>150.2841</v>
      </c>
      <c r="F86" s="1">
        <v>336.88830000000002</v>
      </c>
      <c r="G86" s="1">
        <v>134.99010000000001</v>
      </c>
      <c r="H86" s="1">
        <v>68.506820000000005</v>
      </c>
      <c r="I86" s="1">
        <v>38.070480000000003</v>
      </c>
      <c r="J86" s="1">
        <v>130.92179999999999</v>
      </c>
      <c r="K86" s="1">
        <v>0</v>
      </c>
      <c r="L86" s="1">
        <v>0.26396219999999998</v>
      </c>
      <c r="M86" s="1">
        <v>0</v>
      </c>
      <c r="N86" s="1">
        <v>0</v>
      </c>
      <c r="O86" s="1">
        <v>0</v>
      </c>
      <c r="P86" s="1">
        <f ca="1">SUM(OFFSET($A$73,13,1,1,14))</f>
        <v>1279.1559352000002</v>
      </c>
      <c r="Q86" s="2">
        <f ca="1">SUM(OFFSET($A$73,13,1,1,12))</f>
        <v>1279.1559352000002</v>
      </c>
    </row>
    <row r="87" spans="1:17" x14ac:dyDescent="0.2">
      <c r="A87" s="1">
        <v>13</v>
      </c>
      <c r="B87" s="1">
        <v>0.69368249999999998</v>
      </c>
      <c r="C87" s="1">
        <v>1.7794669999999999</v>
      </c>
      <c r="D87" s="1">
        <v>59.56138</v>
      </c>
      <c r="E87" s="1">
        <v>14.83628</v>
      </c>
      <c r="F87" s="1">
        <v>20.89987</v>
      </c>
      <c r="G87" s="1">
        <v>76.291070000000005</v>
      </c>
      <c r="H87" s="1">
        <v>2.9724149999999998</v>
      </c>
      <c r="I87" s="1">
        <v>0.92379109999999998</v>
      </c>
      <c r="J87" s="1">
        <v>21.46022</v>
      </c>
      <c r="K87" s="1">
        <v>0</v>
      </c>
      <c r="L87" s="1">
        <v>80.336669999999998</v>
      </c>
      <c r="M87" s="1">
        <v>23.565760000000001</v>
      </c>
      <c r="N87" s="1">
        <v>0</v>
      </c>
      <c r="O87" s="1">
        <v>0</v>
      </c>
      <c r="P87" s="1">
        <f ca="1">SUM(OFFSET($A$73,14,1,1,14))</f>
        <v>303.32060560000002</v>
      </c>
      <c r="Q87" s="2">
        <f ca="1">SUM(OFFSET($A$73,14,1,1,12))</f>
        <v>303.32060560000002</v>
      </c>
    </row>
    <row r="88" spans="1:17" x14ac:dyDescent="0.2">
      <c r="A88" s="1">
        <v>14</v>
      </c>
      <c r="B88" s="1">
        <v>1.51176E-2</v>
      </c>
      <c r="C88" s="1">
        <v>0.53624910000000003</v>
      </c>
      <c r="D88" s="1">
        <v>67.778409999999994</v>
      </c>
      <c r="E88" s="1">
        <v>9.0426559999999991</v>
      </c>
      <c r="F88" s="1">
        <v>10.112069999999999</v>
      </c>
      <c r="G88" s="1">
        <v>45.228369999999998</v>
      </c>
      <c r="H88" s="1">
        <v>0.30794009999999999</v>
      </c>
      <c r="I88" s="1">
        <v>0</v>
      </c>
      <c r="J88" s="1">
        <v>10.12359</v>
      </c>
      <c r="K88" s="1">
        <v>0</v>
      </c>
      <c r="L88" s="1">
        <v>37.797620000000002</v>
      </c>
      <c r="M88" s="1">
        <v>27.519770000000001</v>
      </c>
      <c r="N88" s="1">
        <v>0</v>
      </c>
      <c r="O88" s="1">
        <v>0</v>
      </c>
      <c r="P88" s="1">
        <f ca="1">SUM(OFFSET($A$73,15,1,1,14))</f>
        <v>208.46179279999998</v>
      </c>
      <c r="Q88" s="2">
        <f ca="1">SUM(OFFSET($A$73,15,1,1,12))</f>
        <v>208.46179279999998</v>
      </c>
    </row>
    <row r="89" spans="1:17" x14ac:dyDescent="0.2">
      <c r="A89" s="1" t="s">
        <v>43</v>
      </c>
      <c r="B89" s="1">
        <f ca="1">SUM(OFFSET($A$73,2,1,14,1))</f>
        <v>1108.8096790999998</v>
      </c>
      <c r="C89" s="1">
        <f ca="1">SUM(OFFSET($A$73,2,2,14,1))</f>
        <v>5645.0713960999992</v>
      </c>
      <c r="D89" s="1">
        <f ca="1">SUM(OFFSET($A$73,2,3,14,1))</f>
        <v>56176.328890000004</v>
      </c>
      <c r="E89" s="1">
        <f ca="1">SUM(OFFSET($A$73,2,4,14,1))</f>
        <v>41248.203435999996</v>
      </c>
      <c r="F89" s="1">
        <f ca="1">SUM(OFFSET($A$73,2,5,14,1))</f>
        <v>35489.730940000009</v>
      </c>
      <c r="G89" s="1">
        <f ca="1">SUM(OFFSET($A$73,2,6,14,1))</f>
        <v>10234.287220000002</v>
      </c>
      <c r="H89" s="1">
        <f ca="1">SUM(OFFSET($A$73,2,7,14,1))</f>
        <v>13698.267555099999</v>
      </c>
      <c r="I89" s="1">
        <f ca="1">SUM(OFFSET($A$73,2,8,14,1))</f>
        <v>1567.2581521</v>
      </c>
      <c r="J89" s="1">
        <f ca="1">SUM(OFFSET($A$73,2,9,14,1))</f>
        <v>15140.077970000002</v>
      </c>
      <c r="K89" s="1">
        <f ca="1">SUM(OFFSET($A$73,2,10,14,1))</f>
        <v>1148.167179</v>
      </c>
      <c r="L89" s="1">
        <f ca="1">SUM(OFFSET($A$73,2,11,14,1))</f>
        <v>1330.5823631999999</v>
      </c>
      <c r="M89" s="1">
        <f ca="1">SUM(OFFSET($A$73,2,12,14,1))</f>
        <v>1138.1460980000002</v>
      </c>
      <c r="N89" s="1">
        <f ca="1">SUM(OFFSET($A$73,2,13,14,1))</f>
        <v>0</v>
      </c>
      <c r="O89" s="1">
        <f ca="1">SUM(OFFSET($A$73,2,14,14,1))</f>
        <v>20.690264199999998</v>
      </c>
      <c r="P89" s="1">
        <f ca="1">SUM(OFFSET($A$73,16,1,1,14))</f>
        <v>183945.62114280002</v>
      </c>
      <c r="Q89" s="2">
        <f ca="1">SUM(OFFSET($A$73,16,1,1,12))</f>
        <v>183924.93087860002</v>
      </c>
    </row>
    <row r="90" spans="1:17" x14ac:dyDescent="0.2">
      <c r="O90" s="11" t="s">
        <v>59</v>
      </c>
      <c r="P90" s="1">
        <f ca="1">SUM(OFFSET($B$75,0,0,12,12))</f>
        <v>183413.14848019992</v>
      </c>
    </row>
    <row r="91" spans="1:17" x14ac:dyDescent="0.2">
      <c r="A91" s="1" t="s">
        <v>97</v>
      </c>
    </row>
    <row r="92" spans="1:17" x14ac:dyDescent="0.2">
      <c r="B92" s="1">
        <v>1</v>
      </c>
      <c r="C92" s="1">
        <v>2</v>
      </c>
      <c r="D92" s="1">
        <v>3</v>
      </c>
      <c r="E92" s="1">
        <v>4</v>
      </c>
      <c r="F92" s="1">
        <v>5</v>
      </c>
      <c r="G92" s="1">
        <v>6</v>
      </c>
      <c r="H92" s="1">
        <v>7</v>
      </c>
      <c r="I92" s="1">
        <v>8</v>
      </c>
      <c r="J92" s="1">
        <v>9</v>
      </c>
      <c r="K92" s="1">
        <v>10</v>
      </c>
      <c r="L92" s="1">
        <v>11</v>
      </c>
      <c r="M92" s="1">
        <v>12</v>
      </c>
      <c r="N92" s="1">
        <v>13</v>
      </c>
      <c r="O92" s="1">
        <v>14</v>
      </c>
      <c r="P92" s="1" t="s">
        <v>43</v>
      </c>
      <c r="Q92" s="2" t="s">
        <v>61</v>
      </c>
    </row>
    <row r="93" spans="1:17" x14ac:dyDescent="0.2">
      <c r="A93" s="1">
        <v>1</v>
      </c>
      <c r="B93" s="1">
        <v>516.66880000000003</v>
      </c>
      <c r="C93" s="1">
        <v>32.871209999999998</v>
      </c>
      <c r="D93" s="1">
        <v>9.9650549999999996</v>
      </c>
      <c r="E93" s="1">
        <v>1.8934800000000002E-2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f ca="1">SUM(OFFSET($A$91,2,1,1,14))</f>
        <v>559.52399980000007</v>
      </c>
      <c r="Q93" s="2">
        <f ca="1">SUM(OFFSET($A$91,2,1,1,12))</f>
        <v>559.52399980000007</v>
      </c>
    </row>
    <row r="94" spans="1:17" x14ac:dyDescent="0.2">
      <c r="A94" s="1">
        <v>2</v>
      </c>
      <c r="B94" s="1">
        <v>50.322279999999999</v>
      </c>
      <c r="C94" s="1">
        <v>3869.694</v>
      </c>
      <c r="D94" s="1">
        <v>7.36653</v>
      </c>
      <c r="E94" s="1">
        <v>5.0892220000000004</v>
      </c>
      <c r="F94" s="1">
        <v>1.4643520000000001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f ca="1">SUM(OFFSET($A$91,3,1,1,14))</f>
        <v>3933.9363839999996</v>
      </c>
      <c r="Q94" s="2">
        <f ca="1">SUM(OFFSET($A$91,3,1,1,12))</f>
        <v>3933.9363839999996</v>
      </c>
    </row>
    <row r="95" spans="1:17" x14ac:dyDescent="0.2">
      <c r="A95" s="1">
        <v>3</v>
      </c>
      <c r="B95" s="1">
        <v>5.7007380000000003</v>
      </c>
      <c r="C95" s="1">
        <v>3.4685489999999999</v>
      </c>
      <c r="D95" s="1">
        <v>22384.17</v>
      </c>
      <c r="E95" s="1">
        <v>3026.875</v>
      </c>
      <c r="F95" s="1">
        <v>1.5085310000000001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f ca="1">SUM(OFFSET($A$91,4,1,1,14))</f>
        <v>25421.722817999998</v>
      </c>
      <c r="Q95" s="2">
        <f ca="1">SUM(OFFSET($A$91,4,1,1,12))</f>
        <v>25421.722817999998</v>
      </c>
    </row>
    <row r="96" spans="1:17" x14ac:dyDescent="0.2">
      <c r="A96" s="1">
        <v>4</v>
      </c>
      <c r="B96" s="1">
        <v>5.9034999999999999E-3</v>
      </c>
      <c r="C96" s="1">
        <v>4.0351030000000003</v>
      </c>
      <c r="D96" s="1">
        <v>4163.7309999999998</v>
      </c>
      <c r="E96" s="1">
        <v>16066.6</v>
      </c>
      <c r="F96" s="1">
        <v>371.92759999999998</v>
      </c>
      <c r="G96" s="1">
        <v>0</v>
      </c>
      <c r="H96" s="1">
        <v>58.441139999999997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f ca="1">SUM(OFFSET($A$91,5,1,1,14))</f>
        <v>20664.7407465</v>
      </c>
      <c r="Q96" s="2">
        <f ca="1">SUM(OFFSET($A$91,5,1,1,12))</f>
        <v>20664.7407465</v>
      </c>
    </row>
    <row r="97" spans="1:21" x14ac:dyDescent="0.2">
      <c r="A97" s="1">
        <v>5</v>
      </c>
      <c r="B97" s="1">
        <v>0</v>
      </c>
      <c r="C97" s="1">
        <v>1.880671</v>
      </c>
      <c r="D97" s="1">
        <v>5.1516019999999996</v>
      </c>
      <c r="E97" s="1">
        <v>347.11070000000001</v>
      </c>
      <c r="F97" s="1">
        <v>5355.8810000000003</v>
      </c>
      <c r="G97" s="1">
        <v>113.74339999999999</v>
      </c>
      <c r="H97" s="1">
        <v>6.8338099999999997</v>
      </c>
      <c r="I97" s="1">
        <v>9.2127560000000006</v>
      </c>
      <c r="J97" s="1">
        <v>11.528930000000001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f ca="1">SUM(OFFSET($A$91,6,1,1,14))</f>
        <v>5851.342869000001</v>
      </c>
      <c r="Q97" s="2">
        <f ca="1">SUM(OFFSET($A$91,6,1,1,12))</f>
        <v>5851.342869000001</v>
      </c>
    </row>
    <row r="98" spans="1:21" x14ac:dyDescent="0.2">
      <c r="A98" s="1">
        <v>6</v>
      </c>
      <c r="B98" s="1">
        <v>0</v>
      </c>
      <c r="C98" s="1">
        <v>0</v>
      </c>
      <c r="D98" s="1">
        <v>0</v>
      </c>
      <c r="E98" s="1">
        <v>0</v>
      </c>
      <c r="F98" s="1">
        <v>117.5206</v>
      </c>
      <c r="G98" s="1">
        <v>2412.2779999999998</v>
      </c>
      <c r="H98" s="1">
        <v>0</v>
      </c>
      <c r="I98" s="1">
        <v>0</v>
      </c>
      <c r="J98" s="1">
        <v>0.1533224</v>
      </c>
      <c r="K98" s="1">
        <v>0</v>
      </c>
      <c r="L98" s="1">
        <v>0.2495945</v>
      </c>
      <c r="M98" s="1">
        <v>0</v>
      </c>
      <c r="N98" s="1">
        <v>0</v>
      </c>
      <c r="O98" s="1">
        <v>0</v>
      </c>
      <c r="P98" s="1">
        <f ca="1">SUM(OFFSET($A$91,7,1,1,14))</f>
        <v>2530.2015168999997</v>
      </c>
      <c r="Q98" s="2">
        <f ca="1">SUM(OFFSET($A$91,7,1,1,12))</f>
        <v>2530.2015168999997</v>
      </c>
    </row>
    <row r="99" spans="1:21" x14ac:dyDescent="0.2">
      <c r="A99" s="1">
        <v>7</v>
      </c>
      <c r="B99" s="1">
        <v>0</v>
      </c>
      <c r="C99" s="1">
        <v>0</v>
      </c>
      <c r="D99" s="1">
        <v>0</v>
      </c>
      <c r="E99" s="1">
        <v>34.940219999999997</v>
      </c>
      <c r="F99" s="1">
        <v>7.9540850000000001</v>
      </c>
      <c r="G99" s="1">
        <v>0</v>
      </c>
      <c r="H99" s="1">
        <v>3023.7570000000001</v>
      </c>
      <c r="I99" s="1">
        <v>0.38144929999999999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f ca="1">SUM(OFFSET($A$91,8,1,1,14))</f>
        <v>3067.0327542999999</v>
      </c>
      <c r="Q99" s="2">
        <f ca="1">SUM(OFFSET($A$91,8,1,1,12))</f>
        <v>3067.0327542999999</v>
      </c>
    </row>
    <row r="100" spans="1:21" x14ac:dyDescent="0.2">
      <c r="A100" s="1">
        <v>8</v>
      </c>
      <c r="B100" s="1">
        <v>0</v>
      </c>
      <c r="C100" s="1">
        <v>0</v>
      </c>
      <c r="D100" s="1">
        <v>0</v>
      </c>
      <c r="E100" s="1">
        <v>0</v>
      </c>
      <c r="F100" s="1">
        <v>9.0235970000000005</v>
      </c>
      <c r="G100" s="1">
        <v>0</v>
      </c>
      <c r="H100" s="1">
        <v>1.248713</v>
      </c>
      <c r="I100" s="1">
        <v>550.43499999999995</v>
      </c>
      <c r="J100" s="1">
        <v>2.2970480000000002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f ca="1">SUM(OFFSET($A$91,9,1,1,14))</f>
        <v>563.00435799999991</v>
      </c>
      <c r="Q100" s="2">
        <f ca="1">SUM(OFFSET($A$91,9,1,1,12))</f>
        <v>563.00435799999991</v>
      </c>
    </row>
    <row r="101" spans="1:21" x14ac:dyDescent="0.2">
      <c r="A101" s="1">
        <v>9</v>
      </c>
      <c r="B101" s="1">
        <v>0</v>
      </c>
      <c r="C101" s="1">
        <v>0</v>
      </c>
      <c r="D101" s="1">
        <v>0</v>
      </c>
      <c r="E101" s="1">
        <v>0</v>
      </c>
      <c r="F101" s="1">
        <v>6.5072190000000001</v>
      </c>
      <c r="G101" s="1">
        <v>0.1674861</v>
      </c>
      <c r="H101" s="1">
        <v>1.7139000000000001E-2</v>
      </c>
      <c r="I101" s="1">
        <v>3.954885</v>
      </c>
      <c r="J101" s="1">
        <v>3962.4850000000001</v>
      </c>
      <c r="K101" s="1">
        <v>2.3757009999999998</v>
      </c>
      <c r="L101" s="1">
        <v>0.1651318</v>
      </c>
      <c r="M101" s="1">
        <v>98.060839999999999</v>
      </c>
      <c r="N101" s="1">
        <v>0</v>
      </c>
      <c r="O101" s="1">
        <v>0</v>
      </c>
      <c r="P101" s="1">
        <f ca="1">SUM(OFFSET($A$91,10,1,1,14))</f>
        <v>4073.7334019</v>
      </c>
      <c r="Q101" s="2">
        <f ca="1">SUM(OFFSET($A$91,10,1,1,12))</f>
        <v>4073.7334019</v>
      </c>
    </row>
    <row r="102" spans="1:21" x14ac:dyDescent="0.2">
      <c r="A102" s="1">
        <v>10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2.30044</v>
      </c>
      <c r="K102" s="1">
        <v>1056.9290000000001</v>
      </c>
      <c r="L102" s="1">
        <v>0</v>
      </c>
      <c r="M102" s="1">
        <v>0.90390689999999996</v>
      </c>
      <c r="N102" s="1">
        <v>0</v>
      </c>
      <c r="O102" s="1">
        <v>0</v>
      </c>
      <c r="P102" s="1">
        <f ca="1">SUM(OFFSET($A$91,11,1,1,14))</f>
        <v>1060.1333469000001</v>
      </c>
      <c r="Q102" s="2">
        <f ca="1">SUM(OFFSET($A$91,11,1,1,12))</f>
        <v>1060.1333469000001</v>
      </c>
    </row>
    <row r="103" spans="1:21" x14ac:dyDescent="0.2">
      <c r="A103" s="1">
        <v>11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0.24640629999999999</v>
      </c>
      <c r="H103" s="1">
        <v>0</v>
      </c>
      <c r="I103" s="1">
        <v>0</v>
      </c>
      <c r="J103" s="1">
        <v>0.31660700000000003</v>
      </c>
      <c r="K103" s="1">
        <v>0</v>
      </c>
      <c r="L103" s="1">
        <v>1102.71</v>
      </c>
      <c r="M103" s="1">
        <v>0.54795890000000003</v>
      </c>
      <c r="N103" s="1">
        <v>5.12776E-2</v>
      </c>
      <c r="O103" s="1">
        <v>0</v>
      </c>
      <c r="P103" s="1">
        <f ca="1">SUM(OFFSET($A$91,12,1,1,14))</f>
        <v>1103.8722498</v>
      </c>
      <c r="Q103" s="2">
        <f ca="1">SUM(OFFSET($A$91,12,1,1,12))</f>
        <v>1103.8209721999999</v>
      </c>
    </row>
    <row r="104" spans="1:21" x14ac:dyDescent="0.2">
      <c r="A104" s="1">
        <v>12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100.35380000000001</v>
      </c>
      <c r="K104" s="1">
        <v>0.93219660000000004</v>
      </c>
      <c r="L104" s="1">
        <v>0.87256520000000004</v>
      </c>
      <c r="M104" s="1">
        <v>1687.3</v>
      </c>
      <c r="N104" s="1">
        <v>0</v>
      </c>
      <c r="O104" s="1">
        <v>0.44414959999999998</v>
      </c>
      <c r="P104" s="1">
        <f ca="1">SUM(OFFSET($A$91,13,1,1,14))</f>
        <v>1789.9027113999998</v>
      </c>
      <c r="Q104" s="2">
        <f ca="1">SUM(OFFSET($A$91,13,1,1,12))</f>
        <v>1789.4585617999999</v>
      </c>
    </row>
    <row r="105" spans="1:21" x14ac:dyDescent="0.2">
      <c r="A105" s="1">
        <v>13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5.1472700000000003E-2</v>
      </c>
      <c r="M105" s="1">
        <v>0</v>
      </c>
      <c r="N105" s="1">
        <v>430.82639999999998</v>
      </c>
      <c r="O105" s="1">
        <v>0.26731480000000002</v>
      </c>
      <c r="P105" s="1">
        <f ca="1">SUM(OFFSET($A$91,14,1,1,14))</f>
        <v>431.14518749999996</v>
      </c>
      <c r="Q105" s="2">
        <f ca="1">SUM(OFFSET($A$91,14,1,1,12))</f>
        <v>5.1472700000000003E-2</v>
      </c>
    </row>
    <row r="106" spans="1:21" x14ac:dyDescent="0.2">
      <c r="A106" s="1">
        <v>14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0.46505659999999999</v>
      </c>
      <c r="N106" s="1">
        <v>0.36860189999999998</v>
      </c>
      <c r="O106" s="1">
        <v>3219.1109999999999</v>
      </c>
      <c r="P106" s="1">
        <f ca="1">SUM(OFFSET($A$91,15,1,1,14))</f>
        <v>3219.9446585000001</v>
      </c>
      <c r="Q106" s="2">
        <f ca="1">SUM(OFFSET($A$91,15,1,1,12))</f>
        <v>0.46505659999999999</v>
      </c>
    </row>
    <row r="107" spans="1:21" x14ac:dyDescent="0.2">
      <c r="A107" s="1" t="s">
        <v>43</v>
      </c>
      <c r="B107" s="1">
        <f ca="1">SUM(OFFSET($A$91,2,1,14,1))</f>
        <v>572.69772150000006</v>
      </c>
      <c r="C107" s="1">
        <f ca="1">SUM(OFFSET($A$91,2,2,14,1))</f>
        <v>3911.949533</v>
      </c>
      <c r="D107" s="1">
        <f ca="1">SUM(OFFSET($A$91,2,3,14,1))</f>
        <v>26570.384187</v>
      </c>
      <c r="E107" s="1">
        <f ca="1">SUM(OFFSET($A$91,2,4,14,1))</f>
        <v>19480.634076800001</v>
      </c>
      <c r="F107" s="1">
        <f ca="1">SUM(OFFSET($A$91,2,5,14,1))</f>
        <v>5871.7869840000012</v>
      </c>
      <c r="G107" s="1">
        <f ca="1">SUM(OFFSET($A$91,2,6,14,1))</f>
        <v>2526.4352924</v>
      </c>
      <c r="H107" s="1">
        <f ca="1">SUM(OFFSET($A$91,2,7,14,1))</f>
        <v>3090.297802</v>
      </c>
      <c r="I107" s="1">
        <f ca="1">SUM(OFFSET($A$91,2,8,14,1))</f>
        <v>563.98409029999993</v>
      </c>
      <c r="J107" s="1">
        <f ca="1">SUM(OFFSET($A$91,2,9,14,1))</f>
        <v>4079.4351474</v>
      </c>
      <c r="K107" s="1">
        <f ca="1">SUM(OFFSET($A$91,2,10,14,1))</f>
        <v>1060.2368976</v>
      </c>
      <c r="L107" s="1">
        <f ca="1">SUM(OFFSET($A$91,2,11,14,1))</f>
        <v>1104.0487642000001</v>
      </c>
      <c r="M107" s="1">
        <f ca="1">SUM(OFFSET($A$91,2,12,14,1))</f>
        <v>1787.2777624</v>
      </c>
      <c r="N107" s="1">
        <f ca="1">SUM(OFFSET($A$91,2,13,14,1))</f>
        <v>431.24627949999996</v>
      </c>
      <c r="O107" s="1">
        <f ca="1">SUM(OFFSET($A$91,2,14,14,1))</f>
        <v>3219.8224643999997</v>
      </c>
      <c r="P107" s="1">
        <f ca="1">SUM(OFFSET($A$91,16,1,1,14))</f>
        <v>74270.237002499998</v>
      </c>
      <c r="Q107" s="2">
        <f ca="1">SUM(OFFSET($A$91,16,1,1,12))</f>
        <v>70619.168258599995</v>
      </c>
      <c r="U107" s="2"/>
    </row>
    <row r="108" spans="1:21" x14ac:dyDescent="0.2">
      <c r="O108" s="11" t="s">
        <v>59</v>
      </c>
      <c r="P108" s="1">
        <f ca="1">SUM(OFFSET($B$93,0,0,12,12))</f>
        <v>70618.651729299992</v>
      </c>
      <c r="U108" s="2"/>
    </row>
    <row r="109" spans="1:21" x14ac:dyDescent="0.2">
      <c r="A109" s="1" t="s">
        <v>99</v>
      </c>
      <c r="U109" s="2"/>
    </row>
    <row r="110" spans="1:21" x14ac:dyDescent="0.2">
      <c r="B110" s="1">
        <v>1</v>
      </c>
      <c r="C110" s="1">
        <v>2</v>
      </c>
      <c r="D110" s="1">
        <v>3</v>
      </c>
      <c r="E110" s="1">
        <v>4</v>
      </c>
      <c r="F110" s="1">
        <v>5</v>
      </c>
      <c r="G110" s="1">
        <v>6</v>
      </c>
      <c r="H110" s="1">
        <v>7</v>
      </c>
      <c r="I110" s="1">
        <v>8</v>
      </c>
      <c r="J110" s="1">
        <v>9</v>
      </c>
      <c r="K110" s="1">
        <v>10</v>
      </c>
      <c r="L110" s="1">
        <v>11</v>
      </c>
      <c r="M110" s="1">
        <v>12</v>
      </c>
      <c r="N110" s="1">
        <v>13</v>
      </c>
      <c r="O110" s="1">
        <v>14</v>
      </c>
      <c r="P110" s="1" t="s">
        <v>43</v>
      </c>
      <c r="Q110" s="2" t="s">
        <v>61</v>
      </c>
      <c r="U110" s="2"/>
    </row>
    <row r="111" spans="1:21" x14ac:dyDescent="0.2">
      <c r="A111" s="1">
        <v>1</v>
      </c>
      <c r="B111" s="1">
        <v>184.5341</v>
      </c>
      <c r="C111" s="1">
        <v>100.07040000000001</v>
      </c>
      <c r="D111" s="1">
        <v>243.5609</v>
      </c>
      <c r="E111" s="1">
        <v>31.599209999999999</v>
      </c>
      <c r="F111" s="1">
        <v>3.4527389999999998</v>
      </c>
      <c r="G111" s="1">
        <v>0</v>
      </c>
      <c r="H111" s="1">
        <v>4.4118600000000001E-2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f ca="1">SUM(OFFSET($A$109,2,1,1,14))</f>
        <v>563.26146760000006</v>
      </c>
      <c r="Q111" s="2">
        <f ca="1">SUM(OFFSET($A$109,2,1,1,12))</f>
        <v>563.26146760000006</v>
      </c>
      <c r="U111" s="2"/>
    </row>
    <row r="112" spans="1:21" x14ac:dyDescent="0.2">
      <c r="A112" s="1">
        <v>2</v>
      </c>
      <c r="B112" s="1">
        <v>139.1011</v>
      </c>
      <c r="C112" s="1">
        <v>1222.54</v>
      </c>
      <c r="D112" s="1">
        <v>646.53250000000003</v>
      </c>
      <c r="E112" s="1">
        <v>225.66079999999999</v>
      </c>
      <c r="F112" s="1">
        <v>154.30629999999999</v>
      </c>
      <c r="G112" s="1">
        <v>1.8886210000000001</v>
      </c>
      <c r="H112" s="1">
        <v>0.52306909999999995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f ca="1">SUM(OFFSET($A$109,3,1,1,14))</f>
        <v>2390.5523901000006</v>
      </c>
      <c r="Q112" s="2">
        <f ca="1">SUM(OFFSET($A$109,3,1,1,12))</f>
        <v>2390.5523901000006</v>
      </c>
      <c r="U112" s="2"/>
    </row>
    <row r="113" spans="1:21" x14ac:dyDescent="0.2">
      <c r="A113" s="1">
        <v>3</v>
      </c>
      <c r="B113" s="1">
        <v>345.33390000000003</v>
      </c>
      <c r="C113" s="1">
        <v>752.57849999999996</v>
      </c>
      <c r="D113" s="1">
        <v>1302.1669999999999</v>
      </c>
      <c r="E113" s="1">
        <v>4715.866</v>
      </c>
      <c r="F113" s="1">
        <v>862.0521</v>
      </c>
      <c r="G113" s="1">
        <v>16.262589999999999</v>
      </c>
      <c r="H113" s="1">
        <v>324.90710000000001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f ca="1">SUM(OFFSET($A$109,4,1,1,14))</f>
        <v>8319.1671900000001</v>
      </c>
      <c r="Q113" s="2">
        <f ca="1">SUM(OFFSET($A$109,4,1,1,12))</f>
        <v>8319.1671900000001</v>
      </c>
      <c r="U113" s="2"/>
    </row>
    <row r="114" spans="1:21" x14ac:dyDescent="0.2">
      <c r="A114" s="1">
        <v>4</v>
      </c>
      <c r="B114" s="1">
        <v>49.792969999999997</v>
      </c>
      <c r="C114" s="1">
        <v>271.65179999999998</v>
      </c>
      <c r="D114" s="1">
        <v>4802.3289999999997</v>
      </c>
      <c r="E114" s="1">
        <v>11549.54</v>
      </c>
      <c r="F114" s="1">
        <v>1197.6279999999999</v>
      </c>
      <c r="G114" s="1">
        <v>29.273769999999999</v>
      </c>
      <c r="H114" s="1">
        <v>670.62760000000003</v>
      </c>
      <c r="I114" s="1">
        <v>6.4584450000000002</v>
      </c>
      <c r="J114" s="1">
        <v>7.7317879999999999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f ca="1">SUM(OFFSET($A$109,5,1,1,14))</f>
        <v>18585.033373000002</v>
      </c>
      <c r="Q114" s="2">
        <f ca="1">SUM(OFFSET($A$109,5,1,1,12))</f>
        <v>18585.033373000002</v>
      </c>
      <c r="U114" s="2"/>
    </row>
    <row r="115" spans="1:21" x14ac:dyDescent="0.2">
      <c r="A115" s="1">
        <v>5</v>
      </c>
      <c r="B115" s="1">
        <v>2.79698</v>
      </c>
      <c r="C115" s="1">
        <v>108.5321</v>
      </c>
      <c r="D115" s="1">
        <v>572.9085</v>
      </c>
      <c r="E115" s="1">
        <v>822.5598</v>
      </c>
      <c r="F115" s="1">
        <v>1731.241</v>
      </c>
      <c r="G115" s="1">
        <v>265.2645</v>
      </c>
      <c r="H115" s="1">
        <v>88.672250000000005</v>
      </c>
      <c r="I115" s="1">
        <v>48.738230000000001</v>
      </c>
      <c r="J115" s="1">
        <v>201.15379999999999</v>
      </c>
      <c r="K115" s="1">
        <v>0</v>
      </c>
      <c r="L115" s="1">
        <v>0.50931780000000004</v>
      </c>
      <c r="M115" s="1">
        <v>0</v>
      </c>
      <c r="N115" s="1">
        <v>0</v>
      </c>
      <c r="O115" s="1">
        <v>0</v>
      </c>
      <c r="P115" s="1">
        <f ca="1">SUM(OFFSET($A$109,6,1,1,14))</f>
        <v>3842.3764778000004</v>
      </c>
      <c r="Q115" s="2">
        <f ca="1">SUM(OFFSET($A$109,6,1,1,12))</f>
        <v>3842.3764778000004</v>
      </c>
      <c r="U115" s="2"/>
    </row>
    <row r="116" spans="1:21" x14ac:dyDescent="0.2">
      <c r="A116" s="1">
        <v>6</v>
      </c>
      <c r="B116" s="1">
        <v>0</v>
      </c>
      <c r="C116" s="1">
        <v>1.21736</v>
      </c>
      <c r="D116" s="1">
        <v>8.8263739999999995</v>
      </c>
      <c r="E116" s="1">
        <v>18.660540000000001</v>
      </c>
      <c r="F116" s="1">
        <v>282.7989</v>
      </c>
      <c r="G116" s="1">
        <v>1025.2429999999999</v>
      </c>
      <c r="H116" s="1">
        <v>0.85871560000000002</v>
      </c>
      <c r="I116" s="1">
        <v>2.4108079999999998</v>
      </c>
      <c r="J116" s="1">
        <v>58.788800000000002</v>
      </c>
      <c r="K116" s="1">
        <v>0</v>
      </c>
      <c r="L116" s="1">
        <v>62.996209999999998</v>
      </c>
      <c r="M116" s="1">
        <v>1.885788</v>
      </c>
      <c r="N116" s="1">
        <v>0</v>
      </c>
      <c r="O116" s="1">
        <v>0</v>
      </c>
      <c r="P116" s="1">
        <f ca="1">SUM(OFFSET($A$109,7,1,1,14))</f>
        <v>1463.6864956000002</v>
      </c>
      <c r="Q116" s="2">
        <f ca="1">SUM(OFFSET($A$109,7,1,1,12))</f>
        <v>1463.6864956000002</v>
      </c>
      <c r="U116" s="2"/>
    </row>
    <row r="117" spans="1:21" x14ac:dyDescent="0.2">
      <c r="A117" s="1">
        <v>7</v>
      </c>
      <c r="B117" s="1">
        <v>1.949E-2</v>
      </c>
      <c r="C117" s="1">
        <v>0.27975830000000002</v>
      </c>
      <c r="D117" s="1">
        <v>192.6198</v>
      </c>
      <c r="E117" s="1">
        <v>424.7998</v>
      </c>
      <c r="F117" s="1">
        <v>75.268559999999994</v>
      </c>
      <c r="G117" s="1">
        <v>0.83145040000000003</v>
      </c>
      <c r="H117" s="1">
        <v>1227.912</v>
      </c>
      <c r="I117" s="1">
        <v>39.99926</v>
      </c>
      <c r="J117" s="1">
        <v>13.73949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f ca="1">SUM(OFFSET($A$109,8,1,1,14))</f>
        <v>1975.4696087</v>
      </c>
      <c r="Q117" s="2">
        <f ca="1">SUM(OFFSET($A$109,8,1,1,12))</f>
        <v>1975.4696087</v>
      </c>
      <c r="U117" s="2"/>
    </row>
    <row r="118" spans="1:21" x14ac:dyDescent="0.2">
      <c r="A118" s="1">
        <v>8</v>
      </c>
      <c r="B118" s="1">
        <v>0</v>
      </c>
      <c r="C118" s="1">
        <v>0</v>
      </c>
      <c r="D118" s="1">
        <v>0</v>
      </c>
      <c r="E118" s="1">
        <v>4.9954289999999997</v>
      </c>
      <c r="F118" s="1">
        <v>51.023829999999997</v>
      </c>
      <c r="G118" s="1">
        <v>2.3202750000000001</v>
      </c>
      <c r="H118" s="1">
        <v>35.910400000000003</v>
      </c>
      <c r="I118" s="1">
        <v>226.49760000000001</v>
      </c>
      <c r="J118" s="1">
        <v>110.02979999999999</v>
      </c>
      <c r="K118" s="1">
        <v>0.99535410000000002</v>
      </c>
      <c r="L118" s="1">
        <v>0</v>
      </c>
      <c r="M118" s="1">
        <v>0</v>
      </c>
      <c r="N118" s="1">
        <v>0</v>
      </c>
      <c r="O118" s="1">
        <v>0</v>
      </c>
      <c r="P118" s="1">
        <f ca="1">SUM(OFFSET($A$109,9,1,1,14))</f>
        <v>431.77268809999998</v>
      </c>
      <c r="Q118" s="2">
        <f ca="1">SUM(OFFSET($A$109,9,1,1,12))</f>
        <v>431.77268809999998</v>
      </c>
      <c r="U118" s="2"/>
    </row>
    <row r="119" spans="1:21" x14ac:dyDescent="0.2">
      <c r="A119" s="1">
        <v>9</v>
      </c>
      <c r="B119" s="1">
        <v>0</v>
      </c>
      <c r="C119" s="1">
        <v>0</v>
      </c>
      <c r="D119" s="1">
        <v>0</v>
      </c>
      <c r="E119" s="1">
        <v>4.6970590000000003</v>
      </c>
      <c r="F119" s="1">
        <v>201.7028</v>
      </c>
      <c r="G119" s="1">
        <v>57.650419999999997</v>
      </c>
      <c r="H119" s="1">
        <v>16.521629999999998</v>
      </c>
      <c r="I119" s="1">
        <v>112.05240000000001</v>
      </c>
      <c r="J119" s="1">
        <v>2251.2420000000002</v>
      </c>
      <c r="K119" s="1">
        <v>104.1163</v>
      </c>
      <c r="L119" s="1">
        <v>17.124230000000001</v>
      </c>
      <c r="M119" s="1">
        <v>158.00210000000001</v>
      </c>
      <c r="N119" s="1">
        <v>0</v>
      </c>
      <c r="O119" s="1">
        <v>0</v>
      </c>
      <c r="P119" s="1">
        <f ca="1">SUM(OFFSET($A$109,10,1,1,14))</f>
        <v>2923.1089390000002</v>
      </c>
      <c r="Q119" s="2">
        <f ca="1">SUM(OFFSET($A$109,10,1,1,12))</f>
        <v>2923.1089390000002</v>
      </c>
      <c r="U119" s="2"/>
    </row>
    <row r="120" spans="1:21" x14ac:dyDescent="0.2">
      <c r="A120" s="1">
        <v>10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1.483468</v>
      </c>
      <c r="J120" s="1">
        <v>112.7586</v>
      </c>
      <c r="K120" s="1">
        <v>423.78449999999998</v>
      </c>
      <c r="L120" s="1">
        <v>0</v>
      </c>
      <c r="M120" s="1">
        <v>20.597850000000001</v>
      </c>
      <c r="N120" s="1">
        <v>0</v>
      </c>
      <c r="O120" s="1">
        <v>0</v>
      </c>
      <c r="P120" s="1">
        <f ca="1">SUM(OFFSET($A$109,11,1,1,14))</f>
        <v>558.62441799999999</v>
      </c>
      <c r="Q120" s="2">
        <f ca="1">SUM(OFFSET($A$109,11,1,1,12))</f>
        <v>558.62441799999999</v>
      </c>
      <c r="U120" s="2"/>
    </row>
    <row r="121" spans="1:21" x14ac:dyDescent="0.2">
      <c r="A121" s="1">
        <v>11</v>
      </c>
      <c r="B121" s="1">
        <v>0</v>
      </c>
      <c r="C121" s="1">
        <v>0</v>
      </c>
      <c r="D121" s="1">
        <v>0</v>
      </c>
      <c r="E121" s="1">
        <v>0</v>
      </c>
      <c r="F121" s="1">
        <v>0.53675589999999995</v>
      </c>
      <c r="G121" s="1">
        <v>60.926009999999998</v>
      </c>
      <c r="H121" s="1">
        <v>0</v>
      </c>
      <c r="I121" s="1">
        <v>0</v>
      </c>
      <c r="J121" s="1">
        <v>17.70149</v>
      </c>
      <c r="K121" s="1">
        <v>0</v>
      </c>
      <c r="L121" s="1">
        <v>431.43490000000003</v>
      </c>
      <c r="M121" s="1">
        <v>17.12039</v>
      </c>
      <c r="N121" s="1">
        <v>2.5870669999999998</v>
      </c>
      <c r="O121" s="1">
        <v>1.41447E-2</v>
      </c>
      <c r="P121" s="1">
        <f ca="1">SUM(OFFSET($A$109,12,1,1,14))</f>
        <v>530.32075760000009</v>
      </c>
      <c r="Q121" s="2">
        <f ca="1">SUM(OFFSET($A$109,12,1,1,12))</f>
        <v>527.71954590000007</v>
      </c>
    </row>
    <row r="122" spans="1:21" x14ac:dyDescent="0.2">
      <c r="A122" s="1">
        <v>12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1.957948</v>
      </c>
      <c r="H122" s="1">
        <v>0</v>
      </c>
      <c r="I122" s="1">
        <v>0</v>
      </c>
      <c r="J122" s="1">
        <v>162.22890000000001</v>
      </c>
      <c r="K122" s="1">
        <v>19.599129999999999</v>
      </c>
      <c r="L122" s="1">
        <v>17.39593</v>
      </c>
      <c r="M122" s="1">
        <v>532.52459999999996</v>
      </c>
      <c r="N122" s="1">
        <v>1.9284300000000001E-2</v>
      </c>
      <c r="O122" s="1">
        <v>23.944510000000001</v>
      </c>
      <c r="P122" s="1">
        <f ca="1">SUM(OFFSET($A$109,13,1,1,14))</f>
        <v>757.6703023</v>
      </c>
      <c r="Q122" s="2">
        <f ca="1">SUM(OFFSET($A$109,13,1,1,12))</f>
        <v>733.70650799999999</v>
      </c>
    </row>
    <row r="123" spans="1:21" x14ac:dyDescent="0.2">
      <c r="A123" s="1">
        <v>13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2.5856319999999999</v>
      </c>
      <c r="M123" s="1">
        <v>1.9942499999999998E-2</v>
      </c>
      <c r="N123" s="1">
        <v>189.89789999999999</v>
      </c>
      <c r="O123" s="1">
        <v>21.481660000000002</v>
      </c>
      <c r="P123" s="1">
        <f ca="1">SUM(OFFSET($A$109,14,1,1,14))</f>
        <v>213.98513449999999</v>
      </c>
      <c r="Q123" s="2">
        <f ca="1">SUM(OFFSET($A$109,14,1,1,12))</f>
        <v>2.6055744999999999</v>
      </c>
    </row>
    <row r="124" spans="1:21" x14ac:dyDescent="0.2">
      <c r="A124" s="1">
        <v>14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1.4602E-2</v>
      </c>
      <c r="M124" s="1">
        <v>24.388819999999999</v>
      </c>
      <c r="N124" s="1">
        <v>20.484210000000001</v>
      </c>
      <c r="O124" s="1">
        <v>1186.075</v>
      </c>
      <c r="P124" s="1">
        <f ca="1">SUM(OFFSET($A$109,15,1,1,14))</f>
        <v>1230.962632</v>
      </c>
      <c r="Q124" s="2">
        <f ca="1">SUM(OFFSET($A$109,15,1,1,12))</f>
        <v>24.403421999999999</v>
      </c>
    </row>
    <row r="125" spans="1:21" x14ac:dyDescent="0.2">
      <c r="A125" s="1" t="s">
        <v>43</v>
      </c>
      <c r="B125" s="1">
        <f ca="1">SUM(OFFSET($A$109,2,1,14,1))</f>
        <v>721.57853999999998</v>
      </c>
      <c r="C125" s="1">
        <f ca="1">SUM(OFFSET($A$109,2,2,14,1))</f>
        <v>2456.8699183000003</v>
      </c>
      <c r="D125" s="1">
        <f ca="1">SUM(OFFSET($A$109,2,3,14,1))</f>
        <v>7768.9440740000009</v>
      </c>
      <c r="E125" s="1">
        <f ca="1">SUM(OFFSET($A$109,2,4,14,1))</f>
        <v>17798.378637999998</v>
      </c>
      <c r="F125" s="1">
        <f ca="1">SUM(OFFSET($A$109,2,5,14,1))</f>
        <v>4560.0109849</v>
      </c>
      <c r="G125" s="1">
        <f ca="1">SUM(OFFSET($A$109,2,6,14,1))</f>
        <v>1461.6185843999997</v>
      </c>
      <c r="H125" s="1">
        <f ca="1">SUM(OFFSET($A$109,2,7,14,1))</f>
        <v>2365.9768833000003</v>
      </c>
      <c r="I125" s="1">
        <f ca="1">SUM(OFFSET($A$109,2,8,14,1))</f>
        <v>437.64021100000002</v>
      </c>
      <c r="J125" s="1">
        <f ca="1">SUM(OFFSET($A$109,2,9,14,1))</f>
        <v>2935.3746680000004</v>
      </c>
      <c r="K125" s="1">
        <f ca="1">SUM(OFFSET($A$109,2,10,14,1))</f>
        <v>548.49528409999994</v>
      </c>
      <c r="L125" s="1">
        <f ca="1">SUM(OFFSET($A$109,2,11,14,1))</f>
        <v>532.0608218000001</v>
      </c>
      <c r="M125" s="1">
        <f ca="1">SUM(OFFSET($A$109,2,12,14,1))</f>
        <v>754.53949049999994</v>
      </c>
      <c r="N125" s="1">
        <f ca="1">SUM(OFFSET($A$109,2,13,14,1))</f>
        <v>212.98846129999998</v>
      </c>
      <c r="O125" s="1">
        <f ca="1">SUM(OFFSET($A$109,2,14,14,1))</f>
        <v>1231.5153147000001</v>
      </c>
      <c r="P125" s="1">
        <f ca="1">SUM(OFFSET($A$109,16,1,1,14))</f>
        <v>43785.991874299987</v>
      </c>
      <c r="Q125" s="2">
        <f ca="1">SUM(OFFSET($A$109,16,1,1,12))</f>
        <v>42341.488098299982</v>
      </c>
    </row>
    <row r="126" spans="1:21" x14ac:dyDescent="0.2">
      <c r="O126" s="11" t="s">
        <v>59</v>
      </c>
      <c r="P126" s="1">
        <f ca="1">SUM(OFFSET($B$111,0,0,12,12))</f>
        <v>42314.479101799996</v>
      </c>
    </row>
    <row r="127" spans="1:21" x14ac:dyDescent="0.2">
      <c r="A127" s="1" t="s">
        <v>101</v>
      </c>
    </row>
    <row r="128" spans="1:21" x14ac:dyDescent="0.2">
      <c r="B128" s="1">
        <v>1</v>
      </c>
      <c r="C128" s="1">
        <v>2</v>
      </c>
      <c r="D128" s="1">
        <v>3</v>
      </c>
      <c r="E128" s="1">
        <v>4</v>
      </c>
      <c r="F128" s="1">
        <v>5</v>
      </c>
      <c r="G128" s="1">
        <v>6</v>
      </c>
      <c r="H128" s="1">
        <v>7</v>
      </c>
      <c r="I128" s="1">
        <v>8</v>
      </c>
      <c r="J128" s="1">
        <v>9</v>
      </c>
      <c r="K128" s="1">
        <v>10</v>
      </c>
      <c r="L128" s="1">
        <v>11</v>
      </c>
      <c r="M128" s="1">
        <v>12</v>
      </c>
      <c r="N128" s="1">
        <v>13</v>
      </c>
      <c r="O128" s="1">
        <v>14</v>
      </c>
      <c r="P128" s="1" t="s">
        <v>43</v>
      </c>
      <c r="Q128" s="2" t="s">
        <v>61</v>
      </c>
    </row>
    <row r="129" spans="1:17" x14ac:dyDescent="0.2">
      <c r="A129" s="1">
        <v>1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f ca="1">SUM(OFFSET($A$127,2,1,1,14))</f>
        <v>0</v>
      </c>
      <c r="Q129" s="2">
        <f ca="1">SUM(OFFSET($A$127,2,1,1,12))</f>
        <v>0</v>
      </c>
    </row>
    <row r="130" spans="1:17" x14ac:dyDescent="0.2">
      <c r="A130" s="1">
        <v>2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f ca="1">SUM(OFFSET($A$127,3,1,1,14))</f>
        <v>0</v>
      </c>
      <c r="Q130" s="2">
        <f ca="1">SUM(OFFSET($A$127,3,1,1,12))</f>
        <v>0</v>
      </c>
    </row>
    <row r="131" spans="1:17" x14ac:dyDescent="0.2">
      <c r="A131" s="1">
        <v>3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f ca="1">SUM(OFFSET($A$127,4,1,1,14))</f>
        <v>0</v>
      </c>
      <c r="Q131" s="2">
        <f ca="1">SUM(OFFSET($A$127,4,1,1,12))</f>
        <v>0</v>
      </c>
    </row>
    <row r="132" spans="1:17" x14ac:dyDescent="0.2">
      <c r="A132" s="1">
        <v>4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f ca="1">SUM(OFFSET($A$127,5,1,1,14))</f>
        <v>0</v>
      </c>
      <c r="Q132" s="2">
        <f ca="1">SUM(OFFSET($A$127,5,1,1,12))</f>
        <v>0</v>
      </c>
    </row>
    <row r="133" spans="1:17" x14ac:dyDescent="0.2">
      <c r="A133" s="1">
        <v>5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f ca="1">SUM(OFFSET($A$127,6,1,1,14))</f>
        <v>0</v>
      </c>
      <c r="Q133" s="2">
        <f ca="1">SUM(OFFSET($A$127,6,1,1,12))</f>
        <v>0</v>
      </c>
    </row>
    <row r="134" spans="1:17" x14ac:dyDescent="0.2">
      <c r="A134" s="1">
        <v>6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f ca="1">SUM(OFFSET($A$127,7,1,1,14))</f>
        <v>0</v>
      </c>
      <c r="Q134" s="2">
        <f ca="1">SUM(OFFSET($A$127,7,1,1,12))</f>
        <v>0</v>
      </c>
    </row>
    <row r="135" spans="1:17" x14ac:dyDescent="0.2">
      <c r="A135" s="1">
        <v>7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f ca="1">SUM(OFFSET($A$127,8,1,1,14))</f>
        <v>0</v>
      </c>
      <c r="Q135" s="2">
        <f ca="1">SUM(OFFSET($A$127,8,1,1,12))</f>
        <v>0</v>
      </c>
    </row>
    <row r="136" spans="1:17" x14ac:dyDescent="0.2">
      <c r="A136" s="1">
        <v>8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f ca="1">SUM(OFFSET($A$127,9,1,1,14))</f>
        <v>0</v>
      </c>
      <c r="Q136" s="2">
        <f ca="1">SUM(OFFSET($A$127,9,1,1,12))</f>
        <v>0</v>
      </c>
    </row>
    <row r="137" spans="1:17" x14ac:dyDescent="0.2">
      <c r="A137" s="1">
        <v>9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f ca="1">SUM(OFFSET($A$127,10,1,1,14))</f>
        <v>0</v>
      </c>
      <c r="Q137" s="2">
        <f ca="1">SUM(OFFSET($A$127,10,1,1,12))</f>
        <v>0</v>
      </c>
    </row>
    <row r="138" spans="1:17" x14ac:dyDescent="0.2">
      <c r="A138" s="1">
        <v>10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f ca="1">SUM(OFFSET($A$127,11,1,1,14))</f>
        <v>0</v>
      </c>
      <c r="Q138" s="2">
        <f ca="1">SUM(OFFSET($A$127,11,1,1,12))</f>
        <v>0</v>
      </c>
    </row>
    <row r="139" spans="1:17" x14ac:dyDescent="0.2">
      <c r="A139" s="1">
        <v>11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f ca="1">SUM(OFFSET($A$127,12,1,1,14))</f>
        <v>0</v>
      </c>
      <c r="Q139" s="2">
        <f ca="1">SUM(OFFSET($A$127,12,1,1,12))</f>
        <v>0</v>
      </c>
    </row>
    <row r="140" spans="1:17" x14ac:dyDescent="0.2">
      <c r="A140" s="1">
        <v>12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f ca="1">SUM(OFFSET($A$127,13,1,1,14))</f>
        <v>0</v>
      </c>
      <c r="Q140" s="2">
        <f ca="1">SUM(OFFSET($A$127,13,1,1,12))</f>
        <v>0</v>
      </c>
    </row>
    <row r="141" spans="1:17" x14ac:dyDescent="0.2">
      <c r="A141" s="1">
        <v>13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f ca="1">SUM(OFFSET($A$127,14,1,1,14))</f>
        <v>0</v>
      </c>
      <c r="Q141" s="2">
        <f ca="1">SUM(OFFSET($A$127,14,1,1,12))</f>
        <v>0</v>
      </c>
    </row>
    <row r="142" spans="1:17" x14ac:dyDescent="0.2">
      <c r="A142" s="1">
        <v>14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f ca="1">SUM(OFFSET($A$127,15,1,1,14))</f>
        <v>0</v>
      </c>
      <c r="Q142" s="2">
        <f ca="1">SUM(OFFSET($A$127,15,1,1,12))</f>
        <v>0</v>
      </c>
    </row>
    <row r="143" spans="1:17" x14ac:dyDescent="0.2">
      <c r="A143" s="1" t="s">
        <v>43</v>
      </c>
      <c r="B143" s="1">
        <f ca="1">SUM(OFFSET($A$127,2,1,14,1))</f>
        <v>0</v>
      </c>
      <c r="C143" s="1">
        <f ca="1">SUM(OFFSET($A$127,2,2,14,1))</f>
        <v>0</v>
      </c>
      <c r="D143" s="1">
        <f ca="1">SUM(OFFSET($A$127,2,3,14,1))</f>
        <v>0</v>
      </c>
      <c r="E143" s="1">
        <f ca="1">SUM(OFFSET($A$127,2,4,14,1))</f>
        <v>0</v>
      </c>
      <c r="F143" s="1">
        <f ca="1">SUM(OFFSET($A$127,2,5,14,1))</f>
        <v>0</v>
      </c>
      <c r="G143" s="1">
        <f ca="1">SUM(OFFSET($A$127,2,6,14,1))</f>
        <v>0</v>
      </c>
      <c r="H143" s="1">
        <f ca="1">SUM(OFFSET($A$127,2,7,14,1))</f>
        <v>0</v>
      </c>
      <c r="I143" s="1">
        <f ca="1">SUM(OFFSET($A$127,2,8,14,1))</f>
        <v>0</v>
      </c>
      <c r="J143" s="1">
        <f ca="1">SUM(OFFSET($A$127,2,9,14,1))</f>
        <v>0</v>
      </c>
      <c r="K143" s="1">
        <f ca="1">SUM(OFFSET($A$127,2,10,14,1))</f>
        <v>0</v>
      </c>
      <c r="L143" s="1">
        <f ca="1">SUM(OFFSET($A$127,2,11,14,1))</f>
        <v>0</v>
      </c>
      <c r="M143" s="1">
        <f ca="1">SUM(OFFSET($A$127,2,12,14,1))</f>
        <v>0</v>
      </c>
      <c r="N143" s="1">
        <f ca="1">SUM(OFFSET($A$127,2,13,14,1))</f>
        <v>0</v>
      </c>
      <c r="O143" s="1">
        <f ca="1">SUM(OFFSET($A$127,2,14,14,1))</f>
        <v>0</v>
      </c>
      <c r="P143" s="1">
        <f ca="1">SUM(OFFSET($A$127,16,1,1,14))</f>
        <v>0</v>
      </c>
      <c r="Q143" s="2">
        <f ca="1">SUM(OFFSET($A$127,16,1,1,12))</f>
        <v>0</v>
      </c>
    </row>
    <row r="144" spans="1:17" x14ac:dyDescent="0.2">
      <c r="O144" s="11" t="s">
        <v>59</v>
      </c>
      <c r="P144" s="1">
        <f ca="1">SUM(OFFSET($B$129,0,0,12,12))</f>
        <v>0</v>
      </c>
    </row>
  </sheetData>
  <pageMargins left="0.25" right="0.25" top="0.75" bottom="0.75" header="0.3" footer="0.3"/>
  <pageSetup orientation="portrait" r:id="rId1"/>
  <headerFooter>
    <oddFooter>&amp;L&amp;"-,Italic"&amp;7&amp;F&amp;R&amp;"-,Italic"&amp;6&amp;D  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9" width="6.28515625" style="1"/>
    <col min="10" max="10" width="6.28515625" style="1" customWidth="1"/>
    <col min="11" max="15" width="6.28515625" style="1"/>
    <col min="16" max="16" width="7.7109375" style="1" customWidth="1"/>
    <col min="17" max="17" width="7.7109375" style="2" customWidth="1"/>
    <col min="18" max="18" width="40.7109375" style="1" customWidth="1"/>
    <col min="19" max="20" width="6.28515625" style="1" customWidth="1"/>
    <col min="21" max="16384" width="6.28515625" style="1"/>
  </cols>
  <sheetData>
    <row r="1" spans="1:20" x14ac:dyDescent="0.2">
      <c r="A1" s="1" t="s">
        <v>87</v>
      </c>
    </row>
    <row r="2" spans="1:20" x14ac:dyDescent="0.2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 t="s">
        <v>43</v>
      </c>
      <c r="Q2" s="2" t="s">
        <v>61</v>
      </c>
      <c r="R2" s="1" t="s">
        <v>86</v>
      </c>
      <c r="S2" s="1">
        <f ca="1">OFFSET(A1,16,15)</f>
        <v>4752.6800851000007</v>
      </c>
      <c r="T2" s="1">
        <f ca="1">OFFSET(A1,17,15)</f>
        <v>3605.6117869999998</v>
      </c>
    </row>
    <row r="3" spans="1:20" x14ac:dyDescent="0.2">
      <c r="A3" s="1">
        <v>1</v>
      </c>
      <c r="B3" s="1">
        <v>90.098699999999994</v>
      </c>
      <c r="C3" s="1">
        <v>22.128029999999999</v>
      </c>
      <c r="D3" s="1">
        <v>0.49457380000000001</v>
      </c>
      <c r="E3" s="1">
        <v>0.44443559999999999</v>
      </c>
      <c r="F3" s="1">
        <v>3.1721100000000002E-2</v>
      </c>
      <c r="G3" s="1">
        <v>7.9400000000000006E-5</v>
      </c>
      <c r="H3" s="1">
        <v>1.333E-3</v>
      </c>
      <c r="I3" s="1">
        <v>4.9999999999999998E-7</v>
      </c>
      <c r="J3" s="1">
        <v>1.3E-6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f ca="1">SUM(OFFSET($A$1,2,1,1,14))</f>
        <v>113.19887469999999</v>
      </c>
      <c r="Q3" s="2">
        <f ca="1">SUM(OFFSET($A$1,2,1,1,12))</f>
        <v>113.19887469999999</v>
      </c>
      <c r="R3" s="1" t="s">
        <v>88</v>
      </c>
      <c r="S3" s="1">
        <f ca="1">OFFSET(A1,34,15)</f>
        <v>298022.93536</v>
      </c>
      <c r="T3" s="1">
        <f ca="1">OFFSET(A1,35,15)</f>
        <v>254167.20341650007</v>
      </c>
    </row>
    <row r="4" spans="1:20" x14ac:dyDescent="0.2">
      <c r="A4" s="1">
        <v>2</v>
      </c>
      <c r="B4" s="1">
        <v>23.02224</v>
      </c>
      <c r="C4" s="1">
        <v>231.3134</v>
      </c>
      <c r="D4" s="1">
        <v>0.38757180000000002</v>
      </c>
      <c r="E4" s="1">
        <v>1.7478769999999999</v>
      </c>
      <c r="F4" s="1">
        <v>0.92525740000000001</v>
      </c>
      <c r="G4" s="1">
        <v>8.8473000000000006E-3</v>
      </c>
      <c r="H4" s="1">
        <v>1.9484000000000001E-3</v>
      </c>
      <c r="I4" s="1">
        <v>5.2000000000000002E-6</v>
      </c>
      <c r="J4" s="1">
        <v>1.0230000000000001E-4</v>
      </c>
      <c r="K4" s="1">
        <v>0</v>
      </c>
      <c r="L4" s="1">
        <v>7.9999999999999996E-7</v>
      </c>
      <c r="M4" s="1">
        <v>2.9999999999999999E-7</v>
      </c>
      <c r="N4" s="1">
        <v>0</v>
      </c>
      <c r="O4" s="1">
        <v>0</v>
      </c>
      <c r="P4" s="1">
        <f ca="1">SUM(OFFSET($A$1,3,1,1,14))</f>
        <v>257.40725050000003</v>
      </c>
      <c r="Q4" s="2">
        <f ca="1">SUM(OFFSET($A$1,3,1,1,12))</f>
        <v>257.40725050000003</v>
      </c>
      <c r="R4" s="1" t="s">
        <v>90</v>
      </c>
      <c r="S4" s="1">
        <f ca="1">OFFSET(A1,52,15)</f>
        <v>0</v>
      </c>
      <c r="T4" s="1">
        <f ca="1">OFFSET(A1,53,15)</f>
        <v>0</v>
      </c>
    </row>
    <row r="5" spans="1:20" x14ac:dyDescent="0.2">
      <c r="A5" s="1">
        <v>3</v>
      </c>
      <c r="B5" s="1">
        <v>0.43355959999999999</v>
      </c>
      <c r="C5" s="1">
        <v>0.3370262</v>
      </c>
      <c r="D5" s="1">
        <v>3.9651070000000002</v>
      </c>
      <c r="E5" s="1">
        <v>2.5645479999999998</v>
      </c>
      <c r="F5" s="1">
        <v>3.5682699999999998E-2</v>
      </c>
      <c r="G5" s="1">
        <v>1.863E-4</v>
      </c>
      <c r="H5" s="1">
        <v>1.4831499999999999E-2</v>
      </c>
      <c r="I5" s="1">
        <v>9.9199999999999999E-5</v>
      </c>
      <c r="J5" s="1">
        <v>4.1999999999999998E-5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f ca="1">SUM(OFFSET($A$1,4,1,1,14))</f>
        <v>7.3510824999999986</v>
      </c>
      <c r="Q5" s="2">
        <f ca="1">SUM(OFFSET($A$1,4,1,1,12))</f>
        <v>7.3510824999999986</v>
      </c>
      <c r="R5" s="1" t="s">
        <v>92</v>
      </c>
      <c r="S5" s="1">
        <f ca="1">OFFSET(A1,70,15)</f>
        <v>43493.692369000011</v>
      </c>
      <c r="T5" s="1">
        <f ca="1">OFFSET(A1,71,15)</f>
        <v>41345.316060300014</v>
      </c>
    </row>
    <row r="6" spans="1:20" x14ac:dyDescent="0.2">
      <c r="A6" s="1">
        <v>4</v>
      </c>
      <c r="B6" s="1">
        <v>0.4068754</v>
      </c>
      <c r="C6" s="1">
        <v>1.6035969999999999</v>
      </c>
      <c r="D6" s="1">
        <v>2.49546</v>
      </c>
      <c r="E6" s="1">
        <v>138.70920000000001</v>
      </c>
      <c r="F6" s="1">
        <v>10.33658</v>
      </c>
      <c r="G6" s="1">
        <v>6.0189199999999998E-2</v>
      </c>
      <c r="H6" s="1">
        <v>5.7812450000000002</v>
      </c>
      <c r="I6" s="1">
        <v>0.1342969</v>
      </c>
      <c r="J6" s="1">
        <v>3.52477E-2</v>
      </c>
      <c r="K6" s="1">
        <v>1.043E-4</v>
      </c>
      <c r="L6" s="1">
        <v>1.38E-5</v>
      </c>
      <c r="M6" s="1">
        <v>3.0000000000000001E-6</v>
      </c>
      <c r="N6" s="1">
        <v>0</v>
      </c>
      <c r="O6" s="1">
        <v>0</v>
      </c>
      <c r="P6" s="1">
        <f ca="1">SUM(OFFSET($A$1,5,1,1,14))</f>
        <v>159.56281230000005</v>
      </c>
      <c r="Q6" s="2">
        <f ca="1">SUM(OFFSET($A$1,5,1,1,12))</f>
        <v>159.56281230000005</v>
      </c>
      <c r="R6" s="1" t="s">
        <v>94</v>
      </c>
      <c r="S6" s="1">
        <f ca="1">OFFSET(A1,88,15)</f>
        <v>5387.9606781000002</v>
      </c>
      <c r="T6" s="1">
        <f ca="1">OFFSET(A1,89,15)</f>
        <v>5387.7253927000002</v>
      </c>
    </row>
    <row r="7" spans="1:20" x14ac:dyDescent="0.2">
      <c r="A7" s="1">
        <v>5</v>
      </c>
      <c r="B7" s="1">
        <v>3.3694300000000003E-2</v>
      </c>
      <c r="C7" s="1">
        <v>0.96963359999999998</v>
      </c>
      <c r="D7" s="1">
        <v>4.2027799999999997E-2</v>
      </c>
      <c r="E7" s="1">
        <v>11.697660000000001</v>
      </c>
      <c r="F7" s="1">
        <v>150.99950000000001</v>
      </c>
      <c r="G7" s="1">
        <v>12.192170000000001</v>
      </c>
      <c r="H7" s="1">
        <v>3.780405</v>
      </c>
      <c r="I7" s="1">
        <v>3.3933900000000003E-2</v>
      </c>
      <c r="J7" s="1">
        <v>3.1215190000000002</v>
      </c>
      <c r="K7" s="1">
        <v>1.3304E-3</v>
      </c>
      <c r="L7" s="1">
        <v>3.4897000000000001E-3</v>
      </c>
      <c r="M7" s="1">
        <v>1.6791E-3</v>
      </c>
      <c r="N7" s="1">
        <v>3.9999999999999998E-7</v>
      </c>
      <c r="O7" s="1">
        <v>5.9999999999999997E-7</v>
      </c>
      <c r="P7" s="1">
        <f ca="1">SUM(OFFSET($A$1,6,1,1,14))</f>
        <v>182.8770438</v>
      </c>
      <c r="Q7" s="2">
        <f ca="1">SUM(OFFSET($A$1,6,1,1,12))</f>
        <v>182.8770428</v>
      </c>
      <c r="R7" s="1" t="s">
        <v>96</v>
      </c>
      <c r="S7" s="1">
        <f ca="1">OFFSET(A1,106,15)</f>
        <v>210212.8554841</v>
      </c>
      <c r="T7" s="1">
        <f ca="1">OFFSET(A1,107,15)</f>
        <v>191680.70393810005</v>
      </c>
    </row>
    <row r="8" spans="1:20" x14ac:dyDescent="0.2">
      <c r="A8" s="1">
        <v>6</v>
      </c>
      <c r="B8" s="1">
        <v>8.0799999999999999E-5</v>
      </c>
      <c r="C8" s="1">
        <v>8.9423000000000002E-3</v>
      </c>
      <c r="D8" s="1">
        <v>2.128E-4</v>
      </c>
      <c r="E8" s="1">
        <v>6.5599199999999996E-2</v>
      </c>
      <c r="F8" s="1">
        <v>12.06081</v>
      </c>
      <c r="G8" s="1">
        <v>386.81150000000002</v>
      </c>
      <c r="H8" s="1">
        <v>1.80401E-2</v>
      </c>
      <c r="I8" s="1">
        <v>2.7159999999999999E-4</v>
      </c>
      <c r="J8" s="1">
        <v>3.1036290000000002</v>
      </c>
      <c r="K8" s="1">
        <v>6.4409999999999999E-4</v>
      </c>
      <c r="L8" s="1">
        <v>11.96735</v>
      </c>
      <c r="M8" s="1">
        <v>5.4913299999999998E-2</v>
      </c>
      <c r="N8" s="1">
        <v>6.2489999999999996E-4</v>
      </c>
      <c r="O8" s="1">
        <v>8.8999999999999995E-6</v>
      </c>
      <c r="P8" s="1">
        <f ca="1">SUM(OFFSET($A$1,7,1,1,14))</f>
        <v>414.09262700000005</v>
      </c>
      <c r="Q8" s="2">
        <f ca="1">SUM(OFFSET($A$1,7,1,1,12))</f>
        <v>414.09199320000005</v>
      </c>
      <c r="R8" s="1" t="s">
        <v>98</v>
      </c>
      <c r="S8" s="1">
        <f ca="1">OFFSET(A1,124,15)</f>
        <v>14883.8521</v>
      </c>
      <c r="T8" s="1">
        <f ca="1">OFFSET(A1,125,15)</f>
        <v>13585.3348465</v>
      </c>
    </row>
    <row r="9" spans="1:20" x14ac:dyDescent="0.2">
      <c r="A9" s="1">
        <v>7</v>
      </c>
      <c r="B9" s="1">
        <v>1.3349E-3</v>
      </c>
      <c r="C9" s="1">
        <v>1.954E-3</v>
      </c>
      <c r="D9" s="1">
        <v>1.7624899999999999E-2</v>
      </c>
      <c r="E9" s="1">
        <v>6.4179839999999997</v>
      </c>
      <c r="F9" s="1">
        <v>3.8537370000000002</v>
      </c>
      <c r="G9" s="1">
        <v>1.7634799999999999E-2</v>
      </c>
      <c r="H9" s="1">
        <v>352.08260000000001</v>
      </c>
      <c r="I9" s="1">
        <v>3.2795679999999998</v>
      </c>
      <c r="J9" s="1">
        <v>1.515801</v>
      </c>
      <c r="K9" s="1">
        <v>6.5684000000000003E-3</v>
      </c>
      <c r="L9" s="1">
        <v>1.2999999999999999E-5</v>
      </c>
      <c r="M9" s="1">
        <v>8.3800000000000004E-5</v>
      </c>
      <c r="N9" s="1">
        <v>0</v>
      </c>
      <c r="O9" s="1">
        <v>0</v>
      </c>
      <c r="P9" s="1">
        <f ca="1">SUM(OFFSET($A$1,8,1,1,14))</f>
        <v>367.19490380000008</v>
      </c>
      <c r="Q9" s="2">
        <f ca="1">SUM(OFFSET($A$1,8,1,1,12))</f>
        <v>367.19490380000008</v>
      </c>
      <c r="R9" s="1" t="s">
        <v>100</v>
      </c>
      <c r="S9" s="1">
        <f ca="1">OFFSET(A1,142,15)</f>
        <v>39630.749721100001</v>
      </c>
      <c r="T9" s="1">
        <f ca="1">OFFSET(A1,143,15)</f>
        <v>27380.420205500002</v>
      </c>
    </row>
    <row r="10" spans="1:20" x14ac:dyDescent="0.2">
      <c r="A10" s="1">
        <v>8</v>
      </c>
      <c r="B10" s="1">
        <v>3.9999999999999998E-7</v>
      </c>
      <c r="C10" s="1">
        <v>4.8999999999999997E-6</v>
      </c>
      <c r="D10" s="1">
        <v>1.11E-4</v>
      </c>
      <c r="E10" s="1">
        <v>0.1418421</v>
      </c>
      <c r="F10" s="1">
        <v>2.8317499999999999E-2</v>
      </c>
      <c r="G10" s="1">
        <v>2.243E-4</v>
      </c>
      <c r="H10" s="1">
        <v>2.9293879999999999</v>
      </c>
      <c r="I10" s="1">
        <v>109.95959999999999</v>
      </c>
      <c r="J10" s="1">
        <v>3.0698259999999999</v>
      </c>
      <c r="K10" s="1">
        <v>5.5487399999999999E-2</v>
      </c>
      <c r="L10" s="1">
        <v>9.9999999999999995E-8</v>
      </c>
      <c r="M10" s="1">
        <v>5.7059999999999999E-4</v>
      </c>
      <c r="N10" s="1">
        <v>0</v>
      </c>
      <c r="O10" s="1">
        <v>0</v>
      </c>
      <c r="P10" s="1">
        <f ca="1">SUM(OFFSET($A$1,9,1,1,14))</f>
        <v>116.1853723</v>
      </c>
      <c r="Q10" s="2">
        <f ca="1">SUM(OFFSET($A$1,9,1,1,12))</f>
        <v>116.1853723</v>
      </c>
    </row>
    <row r="11" spans="1:20" x14ac:dyDescent="0.2">
      <c r="A11" s="1">
        <v>9</v>
      </c>
      <c r="B11" s="1">
        <v>1.3E-6</v>
      </c>
      <c r="C11" s="1">
        <v>1.004E-4</v>
      </c>
      <c r="D11" s="1">
        <v>4.7700000000000001E-5</v>
      </c>
      <c r="E11" s="1">
        <v>3.8407299999999998E-2</v>
      </c>
      <c r="F11" s="1">
        <v>2.9004629999999998</v>
      </c>
      <c r="G11" s="1">
        <v>3.019882</v>
      </c>
      <c r="H11" s="1">
        <v>1.607146</v>
      </c>
      <c r="I11" s="1">
        <v>3.7019510000000002</v>
      </c>
      <c r="J11" s="1">
        <v>1073.6880000000001</v>
      </c>
      <c r="K11" s="1">
        <v>25.669339999999998</v>
      </c>
      <c r="L11" s="1">
        <v>3.6648000000000002E-3</v>
      </c>
      <c r="M11" s="1">
        <v>38.900410000000001</v>
      </c>
      <c r="N11" s="1">
        <v>5.0000000000000004E-6</v>
      </c>
      <c r="O11" s="1">
        <v>7.9854999999999995E-3</v>
      </c>
      <c r="P11" s="1">
        <f ca="1">SUM(OFFSET($A$1,10,1,1,14))</f>
        <v>1149.5374039999999</v>
      </c>
      <c r="Q11" s="2">
        <f ca="1">SUM(OFFSET($A$1,10,1,1,12))</f>
        <v>1149.5294134999999</v>
      </c>
    </row>
    <row r="12" spans="1:20" x14ac:dyDescent="0.2">
      <c r="A12" s="1">
        <v>10</v>
      </c>
      <c r="B12" s="1">
        <v>0</v>
      </c>
      <c r="C12" s="1">
        <v>0</v>
      </c>
      <c r="D12" s="1">
        <v>0</v>
      </c>
      <c r="E12" s="1">
        <v>1.15E-4</v>
      </c>
      <c r="F12" s="1">
        <v>1.2671E-3</v>
      </c>
      <c r="G12" s="1">
        <v>6.2390000000000004E-4</v>
      </c>
      <c r="H12" s="1">
        <v>6.2534000000000001E-3</v>
      </c>
      <c r="I12" s="1">
        <v>6.3011200000000003E-2</v>
      </c>
      <c r="J12" s="1">
        <v>25.813289999999999</v>
      </c>
      <c r="K12" s="1">
        <v>183.12639999999999</v>
      </c>
      <c r="L12" s="1">
        <v>1.9E-6</v>
      </c>
      <c r="M12" s="1">
        <v>4.3215849999999998</v>
      </c>
      <c r="N12" s="1">
        <v>0</v>
      </c>
      <c r="O12" s="1">
        <v>1.142E-4</v>
      </c>
      <c r="P12" s="1">
        <f ca="1">SUM(OFFSET($A$1,11,1,1,14))</f>
        <v>213.33266169999999</v>
      </c>
      <c r="Q12" s="2">
        <f ca="1">SUM(OFFSET($A$1,11,1,1,12))</f>
        <v>213.33254749999998</v>
      </c>
    </row>
    <row r="13" spans="1:20" x14ac:dyDescent="0.2">
      <c r="A13" s="1">
        <v>11</v>
      </c>
      <c r="B13" s="1">
        <v>0</v>
      </c>
      <c r="C13" s="1">
        <v>6.9999999999999997E-7</v>
      </c>
      <c r="D13" s="1">
        <v>0</v>
      </c>
      <c r="E13" s="1">
        <v>1.4399999999999999E-5</v>
      </c>
      <c r="F13" s="1">
        <v>3.0423999999999998E-3</v>
      </c>
      <c r="G13" s="1">
        <v>11.06016</v>
      </c>
      <c r="H13" s="1">
        <v>1.22E-5</v>
      </c>
      <c r="I13" s="1">
        <v>9.9999999999999995E-8</v>
      </c>
      <c r="J13" s="1">
        <v>3.5211999999999999E-3</v>
      </c>
      <c r="K13" s="1">
        <v>1.9999999999999999E-6</v>
      </c>
      <c r="L13" s="1">
        <v>161.98869999999999</v>
      </c>
      <c r="M13" s="1">
        <v>2.0382399999999998E-2</v>
      </c>
      <c r="N13" s="1">
        <v>3.6465200000000002</v>
      </c>
      <c r="O13" s="1">
        <v>1.10811E-2</v>
      </c>
      <c r="P13" s="1">
        <f ca="1">SUM(OFFSET($A$1,12,1,1,14))</f>
        <v>176.73343650000001</v>
      </c>
      <c r="Q13" s="2">
        <f ca="1">SUM(OFFSET($A$1,12,1,1,12))</f>
        <v>173.07583539999999</v>
      </c>
    </row>
    <row r="14" spans="1:20" x14ac:dyDescent="0.2">
      <c r="A14" s="1">
        <v>12</v>
      </c>
      <c r="B14" s="1">
        <v>0</v>
      </c>
      <c r="C14" s="1">
        <v>2.9999999999999999E-7</v>
      </c>
      <c r="D14" s="1">
        <v>0</v>
      </c>
      <c r="E14" s="1">
        <v>3.3000000000000002E-6</v>
      </c>
      <c r="F14" s="1">
        <v>1.4555E-3</v>
      </c>
      <c r="G14" s="1">
        <v>5.0726E-2</v>
      </c>
      <c r="H14" s="1">
        <v>8.2399999999999997E-5</v>
      </c>
      <c r="I14" s="1">
        <v>6.9459999999999997E-4</v>
      </c>
      <c r="J14" s="1">
        <v>39.33475</v>
      </c>
      <c r="K14" s="1">
        <v>4.453004</v>
      </c>
      <c r="L14" s="1">
        <v>1.98424E-2</v>
      </c>
      <c r="M14" s="1">
        <v>407.94409999999999</v>
      </c>
      <c r="N14" s="1">
        <v>5.9597000000000001E-3</v>
      </c>
      <c r="O14" s="1">
        <v>15.783720000000001</v>
      </c>
      <c r="P14" s="1">
        <f ca="1">SUM(OFFSET($A$1,13,1,1,14))</f>
        <v>467.59433820000004</v>
      </c>
      <c r="Q14" s="2">
        <f ca="1">SUM(OFFSET($A$1,13,1,1,12))</f>
        <v>451.80465850000002</v>
      </c>
    </row>
    <row r="15" spans="1:20" x14ac:dyDescent="0.2">
      <c r="A15" s="1">
        <v>13</v>
      </c>
      <c r="B15" s="1">
        <v>0</v>
      </c>
      <c r="C15" s="1">
        <v>0</v>
      </c>
      <c r="D15" s="1">
        <v>0</v>
      </c>
      <c r="E15" s="1">
        <v>0</v>
      </c>
      <c r="F15" s="1">
        <v>2.9999999999999999E-7</v>
      </c>
      <c r="G15" s="1">
        <v>5.1309999999999995E-4</v>
      </c>
      <c r="H15" s="1">
        <v>0</v>
      </c>
      <c r="I15" s="1">
        <v>0</v>
      </c>
      <c r="J15" s="1">
        <v>5.1000000000000003E-6</v>
      </c>
      <c r="K15" s="1">
        <v>0</v>
      </c>
      <c r="L15" s="1">
        <v>3.5017130000000001</v>
      </c>
      <c r="M15" s="1">
        <v>6.5824999999999998E-3</v>
      </c>
      <c r="N15" s="1">
        <v>174.37899999999999</v>
      </c>
      <c r="O15" s="1">
        <v>12.803979999999999</v>
      </c>
      <c r="P15" s="1">
        <f ca="1">SUM(OFFSET($A$1,14,1,1,14))</f>
        <v>190.69179399999999</v>
      </c>
      <c r="Q15" s="2">
        <f ca="1">SUM(OFFSET($A$1,14,1,1,12))</f>
        <v>3.5088140000000001</v>
      </c>
    </row>
    <row r="16" spans="1:20" x14ac:dyDescent="0.2">
      <c r="A16" s="1">
        <v>14</v>
      </c>
      <c r="B16" s="1">
        <v>0</v>
      </c>
      <c r="C16" s="1">
        <v>0</v>
      </c>
      <c r="D16" s="1">
        <v>0</v>
      </c>
      <c r="E16" s="1">
        <v>0</v>
      </c>
      <c r="F16" s="1">
        <v>4.9999999999999998E-7</v>
      </c>
      <c r="G16" s="1">
        <v>7.7000000000000008E-6</v>
      </c>
      <c r="H16" s="1">
        <v>0</v>
      </c>
      <c r="I16" s="1">
        <v>0</v>
      </c>
      <c r="J16" s="1">
        <v>7.2747000000000003E-3</v>
      </c>
      <c r="K16" s="1">
        <v>1.139E-4</v>
      </c>
      <c r="L16" s="1">
        <v>1.0707E-2</v>
      </c>
      <c r="M16" s="1">
        <v>14.67822</v>
      </c>
      <c r="N16" s="1">
        <v>11.970560000000001</v>
      </c>
      <c r="O16" s="1">
        <v>910.25360000000001</v>
      </c>
      <c r="P16" s="1">
        <f ca="1">SUM(OFFSET($A$1,15,1,1,14))</f>
        <v>936.92048380000006</v>
      </c>
      <c r="Q16" s="2">
        <f ca="1">SUM(OFFSET($A$1,15,1,1,12))</f>
        <v>14.6963238</v>
      </c>
    </row>
    <row r="17" spans="1:17" x14ac:dyDescent="0.2">
      <c r="A17" s="1" t="s">
        <v>43</v>
      </c>
      <c r="B17" s="1">
        <f ca="1">SUM(OFFSET($A$1,2,1,14,1))</f>
        <v>113.99648669999999</v>
      </c>
      <c r="C17" s="1">
        <f ca="1">SUM(OFFSET($A$1,2,2,14,1))</f>
        <v>256.36268940000002</v>
      </c>
      <c r="D17" s="1">
        <f ca="1">SUM(OFFSET($A$1,2,3,14,1))</f>
        <v>7.4027368000000004</v>
      </c>
      <c r="E17" s="1">
        <f ca="1">SUM(OFFSET($A$1,2,4,14,1))</f>
        <v>161.82768590000001</v>
      </c>
      <c r="F17" s="1">
        <f ca="1">SUM(OFFSET($A$1,2,5,14,1))</f>
        <v>181.17783450000002</v>
      </c>
      <c r="G17" s="1">
        <f ca="1">SUM(OFFSET($A$1,2,6,14,1))</f>
        <v>413.22274400000003</v>
      </c>
      <c r="H17" s="1">
        <f ca="1">SUM(OFFSET($A$1,2,7,14,1))</f>
        <v>366.22328500000003</v>
      </c>
      <c r="I17" s="1">
        <f ca="1">SUM(OFFSET($A$1,2,8,14,1))</f>
        <v>117.17343219999999</v>
      </c>
      <c r="J17" s="1">
        <f ca="1">SUM(OFFSET($A$1,2,9,14,1))</f>
        <v>1149.6930093000001</v>
      </c>
      <c r="K17" s="1">
        <f ca="1">SUM(OFFSET($A$1,2,10,14,1))</f>
        <v>213.31299449999997</v>
      </c>
      <c r="L17" s="1">
        <f ca="1">SUM(OFFSET($A$1,2,11,14,1))</f>
        <v>177.49549649999997</v>
      </c>
      <c r="M17" s="1">
        <f ca="1">SUM(OFFSET($A$1,2,12,14,1))</f>
        <v>465.92852999999997</v>
      </c>
      <c r="N17" s="1">
        <f ca="1">SUM(OFFSET($A$1,2,13,14,1))</f>
        <v>190.00266999999999</v>
      </c>
      <c r="O17" s="1">
        <f ca="1">SUM(OFFSET($A$1,2,14,14,1))</f>
        <v>938.86049030000004</v>
      </c>
      <c r="P17" s="1">
        <f ca="1">SUM(OFFSET($A$1,16,1,1,14))</f>
        <v>4752.6800851000007</v>
      </c>
      <c r="Q17" s="2">
        <f ca="1">SUM(OFFSET($A$1,16,1,1,12))</f>
        <v>3623.8169248000008</v>
      </c>
    </row>
    <row r="18" spans="1:17" x14ac:dyDescent="0.2">
      <c r="O18" s="11" t="s">
        <v>59</v>
      </c>
      <c r="P18" s="1">
        <f ca="1">SUM(OFFSET($B$3,0,0,12,12))</f>
        <v>3605.6117869999998</v>
      </c>
    </row>
    <row r="19" spans="1:17" x14ac:dyDescent="0.2">
      <c r="A19" s="1" t="s">
        <v>89</v>
      </c>
    </row>
    <row r="20" spans="1:17" x14ac:dyDescent="0.2"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 t="s">
        <v>43</v>
      </c>
      <c r="Q20" s="2" t="s">
        <v>61</v>
      </c>
    </row>
    <row r="21" spans="1:17" x14ac:dyDescent="0.2">
      <c r="A21" s="1">
        <v>1</v>
      </c>
      <c r="B21" s="1">
        <v>5928.7439999999997</v>
      </c>
      <c r="C21" s="1">
        <v>868.38639999999998</v>
      </c>
      <c r="D21" s="1">
        <v>21.20712</v>
      </c>
      <c r="E21" s="1">
        <v>90.115009999999998</v>
      </c>
      <c r="F21" s="1">
        <v>3.520985</v>
      </c>
      <c r="G21" s="1">
        <v>5.8514999999999999E-3</v>
      </c>
      <c r="H21" s="1">
        <v>7.2734199999999999E-2</v>
      </c>
      <c r="I21" s="1">
        <v>3.1099999999999997E-5</v>
      </c>
      <c r="J21" s="1">
        <v>9.3300000000000005E-5</v>
      </c>
      <c r="K21" s="1">
        <v>0</v>
      </c>
      <c r="L21" s="1">
        <v>1.1000000000000001E-6</v>
      </c>
      <c r="M21" s="1">
        <v>1.9999999999999999E-7</v>
      </c>
      <c r="N21" s="1">
        <v>0</v>
      </c>
      <c r="O21" s="1">
        <v>0</v>
      </c>
      <c r="P21" s="1">
        <f ca="1">SUM(OFFSET($A$19,2,1,1,14))</f>
        <v>6912.052226400001</v>
      </c>
      <c r="Q21" s="2">
        <f ca="1">SUM(OFFSET($A$19,2,1,1,12))</f>
        <v>6912.052226400001</v>
      </c>
    </row>
    <row r="22" spans="1:17" x14ac:dyDescent="0.2">
      <c r="A22" s="1">
        <v>2</v>
      </c>
      <c r="B22" s="1">
        <v>910.94939999999997</v>
      </c>
      <c r="C22" s="1">
        <v>14170.28</v>
      </c>
      <c r="D22" s="1">
        <v>18.79372</v>
      </c>
      <c r="E22" s="1">
        <v>285.697</v>
      </c>
      <c r="F22" s="1">
        <v>84.377420000000001</v>
      </c>
      <c r="G22" s="1">
        <v>0.52705069999999998</v>
      </c>
      <c r="H22" s="1">
        <v>9.2369499999999993E-2</v>
      </c>
      <c r="I22" s="1">
        <v>3.1559999999999997E-4</v>
      </c>
      <c r="J22" s="1">
        <v>5.8561000000000004E-3</v>
      </c>
      <c r="K22" s="1">
        <v>2.0999999999999998E-6</v>
      </c>
      <c r="L22" s="1">
        <v>7.0900000000000002E-5</v>
      </c>
      <c r="M22" s="1">
        <v>1.7799999999999999E-5</v>
      </c>
      <c r="N22" s="1">
        <v>0</v>
      </c>
      <c r="O22" s="1">
        <v>0</v>
      </c>
      <c r="P22" s="1">
        <f ca="1">SUM(OFFSET($A$19,3,1,1,14))</f>
        <v>15470.7232227</v>
      </c>
      <c r="Q22" s="2">
        <f ca="1">SUM(OFFSET($A$19,3,1,1,12))</f>
        <v>15470.7232227</v>
      </c>
    </row>
    <row r="23" spans="1:17" x14ac:dyDescent="0.2">
      <c r="A23" s="1">
        <v>3</v>
      </c>
      <c r="B23" s="1">
        <v>18.4146</v>
      </c>
      <c r="C23" s="1">
        <v>15.925050000000001</v>
      </c>
      <c r="D23" s="1">
        <v>480.35849999999999</v>
      </c>
      <c r="E23" s="1">
        <v>753.79930000000002</v>
      </c>
      <c r="F23" s="1">
        <v>4.4885299999999999</v>
      </c>
      <c r="G23" s="1">
        <v>1.2807900000000001E-2</v>
      </c>
      <c r="H23" s="1">
        <v>0.90810159999999995</v>
      </c>
      <c r="I23" s="1">
        <v>4.3924000000000003E-3</v>
      </c>
      <c r="J23" s="1">
        <v>2.2139999999999998E-3</v>
      </c>
      <c r="K23" s="1">
        <v>3.1E-6</v>
      </c>
      <c r="L23" s="1">
        <v>3.3000000000000002E-6</v>
      </c>
      <c r="M23" s="1">
        <v>7.9999999999999996E-7</v>
      </c>
      <c r="N23" s="1">
        <v>0</v>
      </c>
      <c r="O23" s="1">
        <v>0</v>
      </c>
      <c r="P23" s="1">
        <f ca="1">SUM(OFFSET($A$19,4,1,1,14))</f>
        <v>1273.9135030999998</v>
      </c>
      <c r="Q23" s="2">
        <f ca="1">SUM(OFFSET($A$19,4,1,1,12))</f>
        <v>1273.9135030999998</v>
      </c>
    </row>
    <row r="24" spans="1:17" x14ac:dyDescent="0.2">
      <c r="A24" s="1">
        <v>4</v>
      </c>
      <c r="B24" s="1">
        <v>82.436229999999995</v>
      </c>
      <c r="C24" s="1">
        <v>259.6771</v>
      </c>
      <c r="D24" s="1">
        <v>730.16319999999996</v>
      </c>
      <c r="E24" s="1">
        <v>42432.02</v>
      </c>
      <c r="F24" s="1">
        <v>1822.058</v>
      </c>
      <c r="G24" s="1">
        <v>13.465769999999999</v>
      </c>
      <c r="H24" s="1">
        <v>790.42719999999997</v>
      </c>
      <c r="I24" s="1">
        <v>22.500319999999999</v>
      </c>
      <c r="J24" s="1">
        <v>6.5454639999999999</v>
      </c>
      <c r="K24" s="1">
        <v>2.8210200000000001E-2</v>
      </c>
      <c r="L24" s="1">
        <v>4.7292000000000002E-3</v>
      </c>
      <c r="M24" s="1">
        <v>6.2940000000000001E-4</v>
      </c>
      <c r="N24" s="1">
        <v>1.9999999999999999E-7</v>
      </c>
      <c r="O24" s="1">
        <v>7.9999999999999996E-7</v>
      </c>
      <c r="P24" s="1">
        <f ca="1">SUM(OFFSET($A$19,5,1,1,14))</f>
        <v>46159.326853799997</v>
      </c>
      <c r="Q24" s="2">
        <f ca="1">SUM(OFFSET($A$19,5,1,1,12))</f>
        <v>46159.326852799997</v>
      </c>
    </row>
    <row r="25" spans="1:17" x14ac:dyDescent="0.2">
      <c r="A25" s="1">
        <v>5</v>
      </c>
      <c r="B25" s="1">
        <v>3.7433179999999999</v>
      </c>
      <c r="C25" s="1">
        <v>87.811120000000003</v>
      </c>
      <c r="D25" s="1">
        <v>5.3575799999999996</v>
      </c>
      <c r="E25" s="1">
        <v>2090.328</v>
      </c>
      <c r="F25" s="1">
        <v>23102.6</v>
      </c>
      <c r="G25" s="1">
        <v>1054.7349999999999</v>
      </c>
      <c r="H25" s="1">
        <v>236.23490000000001</v>
      </c>
      <c r="I25" s="1">
        <v>2.4247529999999999</v>
      </c>
      <c r="J25" s="1">
        <v>226.9641</v>
      </c>
      <c r="K25" s="1">
        <v>0.1355005</v>
      </c>
      <c r="L25" s="1">
        <v>0.4591385</v>
      </c>
      <c r="M25" s="1">
        <v>0.12932260000000001</v>
      </c>
      <c r="N25" s="1">
        <v>5.2500000000000002E-5</v>
      </c>
      <c r="O25" s="1">
        <v>7.5500000000000006E-5</v>
      </c>
      <c r="P25" s="1">
        <f ca="1">SUM(OFFSET($A$19,6,1,1,14))</f>
        <v>26810.9228606</v>
      </c>
      <c r="Q25" s="2">
        <f ca="1">SUM(OFFSET($A$19,6,1,1,12))</f>
        <v>26810.9227326</v>
      </c>
    </row>
    <row r="26" spans="1:17" x14ac:dyDescent="0.2">
      <c r="A26" s="1">
        <v>6</v>
      </c>
      <c r="B26" s="1">
        <v>5.9839999999999997E-3</v>
      </c>
      <c r="C26" s="1">
        <v>0.52887300000000004</v>
      </c>
      <c r="D26" s="1">
        <v>1.4781600000000001E-2</v>
      </c>
      <c r="E26" s="1">
        <v>14.759600000000001</v>
      </c>
      <c r="F26" s="1">
        <v>1039.7539999999999</v>
      </c>
      <c r="G26" s="1">
        <v>27270.1</v>
      </c>
      <c r="H26" s="1">
        <v>0.79047219999999996</v>
      </c>
      <c r="I26" s="1">
        <v>1.30086E-2</v>
      </c>
      <c r="J26" s="1">
        <v>124.4716</v>
      </c>
      <c r="K26" s="1">
        <v>3.5042900000000002E-2</v>
      </c>
      <c r="L26" s="1">
        <v>596.13630000000001</v>
      </c>
      <c r="M26" s="1">
        <v>2.018964</v>
      </c>
      <c r="N26" s="1">
        <v>3.0932399999999999E-2</v>
      </c>
      <c r="O26" s="1">
        <v>5.555E-4</v>
      </c>
      <c r="P26" s="1">
        <f ca="1">SUM(OFFSET($A$19,7,1,1,14))</f>
        <v>29048.660114199993</v>
      </c>
      <c r="Q26" s="2">
        <f ca="1">SUM(OFFSET($A$19,7,1,1,12))</f>
        <v>29048.628626299993</v>
      </c>
    </row>
    <row r="27" spans="1:17" x14ac:dyDescent="0.2">
      <c r="A27" s="1">
        <v>7</v>
      </c>
      <c r="B27" s="1">
        <v>7.3665900000000006E-2</v>
      </c>
      <c r="C27" s="1">
        <v>9.2745900000000006E-2</v>
      </c>
      <c r="D27" s="1">
        <v>1.1137570000000001</v>
      </c>
      <c r="E27" s="1">
        <v>888.55</v>
      </c>
      <c r="F27" s="1">
        <v>239.5386</v>
      </c>
      <c r="G27" s="1">
        <v>0.7828193</v>
      </c>
      <c r="H27" s="1">
        <v>19765.849999999999</v>
      </c>
      <c r="I27" s="1">
        <v>116.19240000000001</v>
      </c>
      <c r="J27" s="1">
        <v>57.642670000000003</v>
      </c>
      <c r="K27" s="1">
        <v>0.35599609999999998</v>
      </c>
      <c r="L27" s="1">
        <v>8.92E-4</v>
      </c>
      <c r="M27" s="1">
        <v>3.5165999999999999E-3</v>
      </c>
      <c r="N27" s="1">
        <v>0</v>
      </c>
      <c r="O27" s="1">
        <v>9.9999999999999995E-7</v>
      </c>
      <c r="P27" s="1">
        <f ca="1">SUM(OFFSET($A$19,8,1,1,14))</f>
        <v>21070.197063800002</v>
      </c>
      <c r="Q27" s="2">
        <f ca="1">SUM(OFFSET($A$19,8,1,1,12))</f>
        <v>21070.197062800002</v>
      </c>
    </row>
    <row r="28" spans="1:17" x14ac:dyDescent="0.2">
      <c r="A28" s="1">
        <v>8</v>
      </c>
      <c r="B28" s="1">
        <v>3.01E-5</v>
      </c>
      <c r="C28" s="1">
        <v>2.9930000000000001E-4</v>
      </c>
      <c r="D28" s="1">
        <v>5.0724999999999998E-3</v>
      </c>
      <c r="E28" s="1">
        <v>24.578869999999998</v>
      </c>
      <c r="F28" s="1">
        <v>2.005817</v>
      </c>
      <c r="G28" s="1">
        <v>1.07025E-2</v>
      </c>
      <c r="H28" s="1">
        <v>108.1887</v>
      </c>
      <c r="I28" s="1">
        <v>5583.5140000000001</v>
      </c>
      <c r="J28" s="1">
        <v>101.53740000000001</v>
      </c>
      <c r="K28" s="1">
        <v>2.272087</v>
      </c>
      <c r="L28" s="1">
        <v>5.0000000000000004E-6</v>
      </c>
      <c r="M28" s="1">
        <v>1.73572E-2</v>
      </c>
      <c r="N28" s="1">
        <v>0</v>
      </c>
      <c r="O28" s="1">
        <v>7.9999999999999996E-7</v>
      </c>
      <c r="P28" s="1">
        <f ca="1">SUM(OFFSET($A$19,9,1,1,14))</f>
        <v>5822.1303414000004</v>
      </c>
      <c r="Q28" s="2">
        <f ca="1">SUM(OFFSET($A$19,9,1,1,12))</f>
        <v>5822.1303406000006</v>
      </c>
    </row>
    <row r="29" spans="1:17" x14ac:dyDescent="0.2">
      <c r="A29" s="1">
        <v>9</v>
      </c>
      <c r="B29" s="1">
        <v>9.4199999999999999E-5</v>
      </c>
      <c r="C29" s="1">
        <v>5.7494E-3</v>
      </c>
      <c r="D29" s="1">
        <v>2.4933999999999998E-3</v>
      </c>
      <c r="E29" s="1">
        <v>7.1456670000000004</v>
      </c>
      <c r="F29" s="1">
        <v>212.07640000000001</v>
      </c>
      <c r="G29" s="1">
        <v>119.5278</v>
      </c>
      <c r="H29" s="1">
        <v>59.407640000000001</v>
      </c>
      <c r="I29" s="1">
        <v>124.07170000000001</v>
      </c>
      <c r="J29" s="1">
        <v>60812.959999999999</v>
      </c>
      <c r="K29" s="1">
        <v>884.65260000000001</v>
      </c>
      <c r="L29" s="1">
        <v>0.21218490000000001</v>
      </c>
      <c r="M29" s="1">
        <v>686.50689999999997</v>
      </c>
      <c r="N29" s="1">
        <v>2.9349999999999998E-4</v>
      </c>
      <c r="O29" s="1">
        <v>0.28742010000000001</v>
      </c>
      <c r="P29" s="1">
        <f ca="1">SUM(OFFSET($A$19,10,1,1,14))</f>
        <v>62906.85694250001</v>
      </c>
      <c r="Q29" s="2">
        <f ca="1">SUM(OFFSET($A$19,10,1,1,12))</f>
        <v>62906.569228900007</v>
      </c>
    </row>
    <row r="30" spans="1:17" x14ac:dyDescent="0.2">
      <c r="A30" s="1">
        <v>10</v>
      </c>
      <c r="B30" s="1">
        <v>0</v>
      </c>
      <c r="C30" s="1">
        <v>2.0999999999999998E-6</v>
      </c>
      <c r="D30" s="1">
        <v>3.7000000000000002E-6</v>
      </c>
      <c r="E30" s="1">
        <v>3.1765300000000003E-2</v>
      </c>
      <c r="F30" s="1">
        <v>0.12686700000000001</v>
      </c>
      <c r="G30" s="1">
        <v>3.3365600000000002E-2</v>
      </c>
      <c r="H30" s="1">
        <v>0.33420349999999999</v>
      </c>
      <c r="I30" s="1">
        <v>2.59205</v>
      </c>
      <c r="J30" s="1">
        <v>884.03250000000003</v>
      </c>
      <c r="K30" s="1">
        <v>9697.1229999999996</v>
      </c>
      <c r="L30" s="1">
        <v>1.45E-4</v>
      </c>
      <c r="M30" s="1">
        <v>86.421480000000003</v>
      </c>
      <c r="N30" s="1">
        <v>1.7E-6</v>
      </c>
      <c r="O30" s="1">
        <v>4.2459999999999998E-3</v>
      </c>
      <c r="P30" s="1">
        <f ca="1">SUM(OFFSET($A$19,11,1,1,14))</f>
        <v>10670.699629900002</v>
      </c>
      <c r="Q30" s="2">
        <f ca="1">SUM(OFFSET($A$19,11,1,1,12))</f>
        <v>10670.695382200001</v>
      </c>
    </row>
    <row r="31" spans="1:17" x14ac:dyDescent="0.2">
      <c r="A31" s="1">
        <v>11</v>
      </c>
      <c r="B31" s="1">
        <v>9.9999999999999995E-7</v>
      </c>
      <c r="C31" s="1">
        <v>6.3E-5</v>
      </c>
      <c r="D31" s="1">
        <v>3.4000000000000001E-6</v>
      </c>
      <c r="E31" s="1">
        <v>4.9922999999999999E-3</v>
      </c>
      <c r="F31" s="1">
        <v>0.39486310000000002</v>
      </c>
      <c r="G31" s="1">
        <v>533.28449999999998</v>
      </c>
      <c r="H31" s="1">
        <v>8.273E-4</v>
      </c>
      <c r="I31" s="1">
        <v>5.6999999999999996E-6</v>
      </c>
      <c r="J31" s="1">
        <v>0.200069</v>
      </c>
      <c r="K31" s="1">
        <v>1.561E-4</v>
      </c>
      <c r="L31" s="1">
        <v>11035.21</v>
      </c>
      <c r="M31" s="1">
        <v>0.72954699999999995</v>
      </c>
      <c r="N31" s="1">
        <v>100.50069999999999</v>
      </c>
      <c r="O31" s="1">
        <v>0.41301900000000002</v>
      </c>
      <c r="P31" s="1">
        <f ca="1">SUM(OFFSET($A$19,12,1,1,14))</f>
        <v>11670.7387469</v>
      </c>
      <c r="Q31" s="2">
        <f ca="1">SUM(OFFSET($A$19,12,1,1,12))</f>
        <v>11569.8250279</v>
      </c>
    </row>
    <row r="32" spans="1:17" x14ac:dyDescent="0.2">
      <c r="A32" s="1">
        <v>12</v>
      </c>
      <c r="B32" s="1">
        <v>1.9999999999999999E-7</v>
      </c>
      <c r="C32" s="1">
        <v>1.59E-5</v>
      </c>
      <c r="D32" s="1">
        <v>8.9999999999999996E-7</v>
      </c>
      <c r="E32" s="1">
        <v>6.9640000000000001E-4</v>
      </c>
      <c r="F32" s="1">
        <v>0.1116516</v>
      </c>
      <c r="G32" s="1">
        <v>1.8196749999999999</v>
      </c>
      <c r="H32" s="1">
        <v>3.3617E-3</v>
      </c>
      <c r="I32" s="1">
        <v>2.14594E-2</v>
      </c>
      <c r="J32" s="1">
        <v>694.47389999999996</v>
      </c>
      <c r="K32" s="1">
        <v>88.513750000000002</v>
      </c>
      <c r="L32" s="1">
        <v>0.70469910000000002</v>
      </c>
      <c r="M32" s="1">
        <v>15666.57</v>
      </c>
      <c r="N32" s="1">
        <v>0.21832380000000001</v>
      </c>
      <c r="O32" s="1">
        <v>351.12810000000002</v>
      </c>
      <c r="P32" s="1">
        <f ca="1">SUM(OFFSET($A$19,13,1,1,14))</f>
        <v>16803.565634000002</v>
      </c>
      <c r="Q32" s="2">
        <f ca="1">SUM(OFFSET($A$19,13,1,1,12))</f>
        <v>16452.219210200001</v>
      </c>
    </row>
    <row r="33" spans="1:17" x14ac:dyDescent="0.2">
      <c r="A33" s="1">
        <v>13</v>
      </c>
      <c r="B33" s="1">
        <v>0</v>
      </c>
      <c r="C33" s="1">
        <v>0</v>
      </c>
      <c r="D33" s="1">
        <v>0</v>
      </c>
      <c r="E33" s="1">
        <v>1.9999999999999999E-7</v>
      </c>
      <c r="F33" s="1">
        <v>3.6199999999999999E-5</v>
      </c>
      <c r="G33" s="1">
        <v>2.4942599999999999E-2</v>
      </c>
      <c r="H33" s="1">
        <v>0</v>
      </c>
      <c r="I33" s="1">
        <v>0</v>
      </c>
      <c r="J33" s="1">
        <v>2.8850000000000002E-4</v>
      </c>
      <c r="K33" s="1">
        <v>1.9E-6</v>
      </c>
      <c r="L33" s="1">
        <v>95.65625</v>
      </c>
      <c r="M33" s="1">
        <v>0.24095820000000001</v>
      </c>
      <c r="N33" s="1">
        <v>7180.4489999999996</v>
      </c>
      <c r="O33" s="1">
        <v>390.00670000000002</v>
      </c>
      <c r="P33" s="1">
        <f ca="1">SUM(OFFSET($A$19,14,1,1,14))</f>
        <v>7666.3781775999996</v>
      </c>
      <c r="Q33" s="2">
        <f ca="1">SUM(OFFSET($A$19,14,1,1,12))</f>
        <v>95.922477599999993</v>
      </c>
    </row>
    <row r="34" spans="1:17" x14ac:dyDescent="0.2">
      <c r="A34" s="1">
        <v>14</v>
      </c>
      <c r="B34" s="1">
        <v>0</v>
      </c>
      <c r="C34" s="1">
        <v>0</v>
      </c>
      <c r="D34" s="1">
        <v>0</v>
      </c>
      <c r="E34" s="1">
        <v>7.9999999999999996E-7</v>
      </c>
      <c r="F34" s="1">
        <v>6.1699999999999995E-5</v>
      </c>
      <c r="G34" s="1">
        <v>4.6860000000000001E-4</v>
      </c>
      <c r="H34" s="1">
        <v>8.9999999999999996E-7</v>
      </c>
      <c r="I34" s="1">
        <v>7.9999999999999996E-7</v>
      </c>
      <c r="J34" s="1">
        <v>0.2611985</v>
      </c>
      <c r="K34" s="1">
        <v>4.2303000000000002E-3</v>
      </c>
      <c r="L34" s="1">
        <v>0.39858149999999998</v>
      </c>
      <c r="M34" s="1">
        <v>327.82760000000002</v>
      </c>
      <c r="N34" s="1">
        <v>367.71789999999999</v>
      </c>
      <c r="O34" s="1">
        <v>35040.559999999998</v>
      </c>
      <c r="P34" s="1">
        <f ca="1">SUM(OFFSET($A$19,15,1,1,14))</f>
        <v>35736.770043099998</v>
      </c>
      <c r="Q34" s="2">
        <f ca="1">SUM(OFFSET($A$19,15,1,1,12))</f>
        <v>328.49214310000002</v>
      </c>
    </row>
    <row r="35" spans="1:17" x14ac:dyDescent="0.2">
      <c r="A35" s="1" t="s">
        <v>43</v>
      </c>
      <c r="B35" s="1">
        <f ca="1">SUM(OFFSET($A$19,2,1,14,1))</f>
        <v>6944.3673234000007</v>
      </c>
      <c r="C35" s="1">
        <f ca="1">SUM(OFFSET($A$19,2,2,14,1))</f>
        <v>15402.707418599997</v>
      </c>
      <c r="D35" s="1">
        <f ca="1">SUM(OFFSET($A$19,2,3,14,1))</f>
        <v>1257.0162325000003</v>
      </c>
      <c r="E35" s="1">
        <f ca="1">SUM(OFFSET($A$19,2,4,14,1))</f>
        <v>46587.030901999991</v>
      </c>
      <c r="F35" s="1">
        <f ca="1">SUM(OFFSET($A$19,2,5,14,1))</f>
        <v>26511.053231599999</v>
      </c>
      <c r="G35" s="1">
        <f ca="1">SUM(OFFSET($A$19,2,6,14,1))</f>
        <v>28994.330753699996</v>
      </c>
      <c r="H35" s="1">
        <f ca="1">SUM(OFFSET($A$19,2,7,14,1))</f>
        <v>20962.310510899995</v>
      </c>
      <c r="I35" s="1">
        <f ca="1">SUM(OFFSET($A$19,2,8,14,1))</f>
        <v>5851.3344366000001</v>
      </c>
      <c r="J35" s="1">
        <f ca="1">SUM(OFFSET($A$19,2,9,14,1))</f>
        <v>62909.097353399993</v>
      </c>
      <c r="K35" s="1">
        <f ca="1">SUM(OFFSET($A$19,2,10,14,1))</f>
        <v>10673.120580199999</v>
      </c>
      <c r="L35" s="1">
        <f ca="1">SUM(OFFSET($A$19,2,11,14,1))</f>
        <v>11728.7830005</v>
      </c>
      <c r="M35" s="1">
        <f ca="1">SUM(OFFSET($A$19,2,12,14,1))</f>
        <v>16770.4662938</v>
      </c>
      <c r="N35" s="1">
        <f ca="1">SUM(OFFSET($A$19,2,13,14,1))</f>
        <v>7648.9172040999993</v>
      </c>
      <c r="O35" s="1">
        <f ca="1">SUM(OFFSET($A$19,2,14,14,1))</f>
        <v>35782.400118699996</v>
      </c>
      <c r="P35" s="1">
        <f ca="1">SUM(OFFSET($A$19,16,1,1,14))</f>
        <v>298022.93536</v>
      </c>
      <c r="Q35" s="2">
        <f ca="1">SUM(OFFSET($A$19,16,1,1,12))</f>
        <v>254591.61803719998</v>
      </c>
    </row>
    <row r="36" spans="1:17" x14ac:dyDescent="0.2">
      <c r="O36" s="11" t="s">
        <v>59</v>
      </c>
      <c r="P36" s="1">
        <f ca="1">SUM(OFFSET($B$21,0,0,12,12))</f>
        <v>254167.20341650007</v>
      </c>
    </row>
    <row r="37" spans="1:17" x14ac:dyDescent="0.2">
      <c r="A37" s="1" t="s">
        <v>91</v>
      </c>
    </row>
    <row r="38" spans="1:17" x14ac:dyDescent="0.2">
      <c r="B38" s="1">
        <v>1</v>
      </c>
      <c r="C38" s="1">
        <v>2</v>
      </c>
      <c r="D38" s="1">
        <v>3</v>
      </c>
      <c r="E38" s="1">
        <v>4</v>
      </c>
      <c r="F38" s="1">
        <v>5</v>
      </c>
      <c r="G38" s="1">
        <v>6</v>
      </c>
      <c r="H38" s="1">
        <v>7</v>
      </c>
      <c r="I38" s="1">
        <v>8</v>
      </c>
      <c r="J38" s="1">
        <v>9</v>
      </c>
      <c r="K38" s="1">
        <v>10</v>
      </c>
      <c r="L38" s="1">
        <v>11</v>
      </c>
      <c r="M38" s="1">
        <v>12</v>
      </c>
      <c r="N38" s="1">
        <v>13</v>
      </c>
      <c r="O38" s="1">
        <v>14</v>
      </c>
      <c r="P38" s="1" t="s">
        <v>43</v>
      </c>
      <c r="Q38" s="2" t="s">
        <v>61</v>
      </c>
    </row>
    <row r="39" spans="1:17" x14ac:dyDescent="0.2">
      <c r="A39" s="1">
        <v>1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f ca="1">SUM(OFFSET($A$37,2,1,1,14))</f>
        <v>0</v>
      </c>
      <c r="Q39" s="2">
        <f ca="1">SUM(OFFSET($A$37,2,1,1,12))</f>
        <v>0</v>
      </c>
    </row>
    <row r="40" spans="1:17" x14ac:dyDescent="0.2">
      <c r="A40" s="1">
        <v>2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f ca="1">SUM(OFFSET($A$37,3,1,1,14))</f>
        <v>0</v>
      </c>
      <c r="Q40" s="2">
        <f ca="1">SUM(OFFSET($A$37,3,1,1,12))</f>
        <v>0</v>
      </c>
    </row>
    <row r="41" spans="1:17" x14ac:dyDescent="0.2">
      <c r="A41" s="1">
        <v>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f ca="1">SUM(OFFSET($A$37,4,1,1,14))</f>
        <v>0</v>
      </c>
      <c r="Q41" s="2">
        <f ca="1">SUM(OFFSET($A$37,4,1,1,12))</f>
        <v>0</v>
      </c>
    </row>
    <row r="42" spans="1:17" x14ac:dyDescent="0.2">
      <c r="A42" s="1">
        <v>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f ca="1">SUM(OFFSET($A$37,5,1,1,14))</f>
        <v>0</v>
      </c>
      <c r="Q42" s="2">
        <f ca="1">SUM(OFFSET($A$37,5,1,1,12))</f>
        <v>0</v>
      </c>
    </row>
    <row r="43" spans="1:17" x14ac:dyDescent="0.2">
      <c r="A43" s="1">
        <v>5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f ca="1">SUM(OFFSET($A$37,6,1,1,14))</f>
        <v>0</v>
      </c>
      <c r="Q43" s="2">
        <f ca="1">SUM(OFFSET($A$37,6,1,1,12))</f>
        <v>0</v>
      </c>
    </row>
    <row r="44" spans="1:17" x14ac:dyDescent="0.2">
      <c r="A44" s="1">
        <v>6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f ca="1">SUM(OFFSET($A$37,7,1,1,14))</f>
        <v>0</v>
      </c>
      <c r="Q44" s="2">
        <f ca="1">SUM(OFFSET($A$37,7,1,1,12))</f>
        <v>0</v>
      </c>
    </row>
    <row r="45" spans="1:17" x14ac:dyDescent="0.2">
      <c r="A45" s="1">
        <v>7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f ca="1">SUM(OFFSET($A$37,8,1,1,14))</f>
        <v>0</v>
      </c>
      <c r="Q45" s="2">
        <f ca="1">SUM(OFFSET($A$37,8,1,1,12))</f>
        <v>0</v>
      </c>
    </row>
    <row r="46" spans="1:17" x14ac:dyDescent="0.2">
      <c r="A46" s="1">
        <v>8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f ca="1">SUM(OFFSET($A$37,9,1,1,14))</f>
        <v>0</v>
      </c>
      <c r="Q46" s="2">
        <f ca="1">SUM(OFFSET($A$37,9,1,1,12))</f>
        <v>0</v>
      </c>
    </row>
    <row r="47" spans="1:17" x14ac:dyDescent="0.2">
      <c r="A47" s="1">
        <v>9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f ca="1">SUM(OFFSET($A$37,10,1,1,14))</f>
        <v>0</v>
      </c>
      <c r="Q47" s="2">
        <f ca="1">SUM(OFFSET($A$37,10,1,1,12))</f>
        <v>0</v>
      </c>
    </row>
    <row r="48" spans="1:17" x14ac:dyDescent="0.2">
      <c r="A48" s="1">
        <v>10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f ca="1">SUM(OFFSET($A$37,11,1,1,14))</f>
        <v>0</v>
      </c>
      <c r="Q48" s="2">
        <f ca="1">SUM(OFFSET($A$37,11,1,1,12))</f>
        <v>0</v>
      </c>
    </row>
    <row r="49" spans="1:17" x14ac:dyDescent="0.2">
      <c r="A49" s="1">
        <v>11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f ca="1">SUM(OFFSET($A$37,12,1,1,14))</f>
        <v>0</v>
      </c>
      <c r="Q49" s="2">
        <f ca="1">SUM(OFFSET($A$37,12,1,1,12))</f>
        <v>0</v>
      </c>
    </row>
    <row r="50" spans="1:17" x14ac:dyDescent="0.2">
      <c r="A50" s="1">
        <v>12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f ca="1">SUM(OFFSET($A$37,13,1,1,14))</f>
        <v>0</v>
      </c>
      <c r="Q50" s="2">
        <f ca="1">SUM(OFFSET($A$37,13,1,1,12))</f>
        <v>0</v>
      </c>
    </row>
    <row r="51" spans="1:17" x14ac:dyDescent="0.2">
      <c r="A51" s="1">
        <v>13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f ca="1">SUM(OFFSET($A$37,14,1,1,14))</f>
        <v>0</v>
      </c>
      <c r="Q51" s="2">
        <f ca="1">SUM(OFFSET($A$37,14,1,1,12))</f>
        <v>0</v>
      </c>
    </row>
    <row r="52" spans="1:17" x14ac:dyDescent="0.2">
      <c r="A52" s="1">
        <v>14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f ca="1">SUM(OFFSET($A$37,15,1,1,14))</f>
        <v>0</v>
      </c>
      <c r="Q52" s="2">
        <f ca="1">SUM(OFFSET($A$37,15,1,1,12))</f>
        <v>0</v>
      </c>
    </row>
    <row r="53" spans="1:17" x14ac:dyDescent="0.2">
      <c r="A53" s="1" t="s">
        <v>43</v>
      </c>
      <c r="B53" s="1">
        <f ca="1">SUM(OFFSET($A$37,2,1,14,1))</f>
        <v>0</v>
      </c>
      <c r="C53" s="1">
        <f ca="1">SUM(OFFSET($A$37,2,2,14,1))</f>
        <v>0</v>
      </c>
      <c r="D53" s="1">
        <f ca="1">SUM(OFFSET($A$37,2,3,14,1))</f>
        <v>0</v>
      </c>
      <c r="E53" s="1">
        <f ca="1">SUM(OFFSET($A$37,2,4,14,1))</f>
        <v>0</v>
      </c>
      <c r="F53" s="1">
        <f ca="1">SUM(OFFSET($A$37,2,5,14,1))</f>
        <v>0</v>
      </c>
      <c r="G53" s="1">
        <f ca="1">SUM(OFFSET($A$37,2,6,14,1))</f>
        <v>0</v>
      </c>
      <c r="H53" s="1">
        <f ca="1">SUM(OFFSET($A$37,2,7,14,1))</f>
        <v>0</v>
      </c>
      <c r="I53" s="1">
        <f ca="1">SUM(OFFSET($A$37,2,8,14,1))</f>
        <v>0</v>
      </c>
      <c r="J53" s="1">
        <f ca="1">SUM(OFFSET($A$37,2,9,14,1))</f>
        <v>0</v>
      </c>
      <c r="K53" s="1">
        <f ca="1">SUM(OFFSET($A$37,2,10,14,1))</f>
        <v>0</v>
      </c>
      <c r="L53" s="1">
        <f ca="1">SUM(OFFSET($A$37,2,11,14,1))</f>
        <v>0</v>
      </c>
      <c r="M53" s="1">
        <f ca="1">SUM(OFFSET($A$37,2,12,14,1))</f>
        <v>0</v>
      </c>
      <c r="N53" s="1">
        <f ca="1">SUM(OFFSET($A$37,2,13,14,1))</f>
        <v>0</v>
      </c>
      <c r="O53" s="1">
        <f ca="1">SUM(OFFSET($A$37,2,14,14,1))</f>
        <v>0</v>
      </c>
      <c r="P53" s="1">
        <f ca="1">SUM(OFFSET($A$37,16,1,1,14))</f>
        <v>0</v>
      </c>
      <c r="Q53" s="2">
        <f ca="1">SUM(OFFSET($A$37,16,1,1,12))</f>
        <v>0</v>
      </c>
    </row>
    <row r="54" spans="1:17" x14ac:dyDescent="0.2">
      <c r="O54" s="11" t="s">
        <v>59</v>
      </c>
      <c r="P54" s="1">
        <f ca="1">SUM(OFFSET($B$39,0,0,12,12))</f>
        <v>0</v>
      </c>
    </row>
    <row r="55" spans="1:17" x14ac:dyDescent="0.2">
      <c r="A55" s="1" t="s">
        <v>93</v>
      </c>
    </row>
    <row r="56" spans="1:17" x14ac:dyDescent="0.2"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11</v>
      </c>
      <c r="M56" s="1">
        <v>12</v>
      </c>
      <c r="N56" s="1">
        <v>13</v>
      </c>
      <c r="O56" s="1">
        <v>14</v>
      </c>
      <c r="P56" s="1" t="s">
        <v>43</v>
      </c>
      <c r="Q56" s="2" t="s">
        <v>61</v>
      </c>
    </row>
    <row r="57" spans="1:17" x14ac:dyDescent="0.2">
      <c r="A57" s="1">
        <v>1</v>
      </c>
      <c r="B57" s="1">
        <v>616.88909999999998</v>
      </c>
      <c r="C57" s="1">
        <v>173.529</v>
      </c>
      <c r="D57" s="1">
        <v>6.4050120000000001</v>
      </c>
      <c r="E57" s="1">
        <v>8.7387080000000008</v>
      </c>
      <c r="F57" s="1">
        <v>0.34743940000000001</v>
      </c>
      <c r="G57" s="1">
        <v>2.332E-4</v>
      </c>
      <c r="H57" s="1">
        <v>3.5474999999999999E-3</v>
      </c>
      <c r="I57" s="1">
        <v>9.9999999999999995E-7</v>
      </c>
      <c r="J57" s="1">
        <v>7.9999999999999996E-7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f ca="1">SUM(OFFSET($A$55,2,1,1,14))</f>
        <v>805.91304189999994</v>
      </c>
      <c r="Q57" s="2">
        <f ca="1">SUM(OFFSET($A$55,2,1,1,12))</f>
        <v>805.91304189999994</v>
      </c>
    </row>
    <row r="58" spans="1:17" x14ac:dyDescent="0.2">
      <c r="A58" s="1">
        <v>2</v>
      </c>
      <c r="B58" s="1">
        <v>198.4898</v>
      </c>
      <c r="C58" s="1">
        <v>2363.2020000000002</v>
      </c>
      <c r="D58" s="1">
        <v>4.6300109999999997</v>
      </c>
      <c r="E58" s="1">
        <v>37.422519999999999</v>
      </c>
      <c r="F58" s="1">
        <v>15.36321</v>
      </c>
      <c r="G58" s="1">
        <v>2.6240200000000002E-2</v>
      </c>
      <c r="H58" s="1">
        <v>5.3575999999999997E-3</v>
      </c>
      <c r="I58" s="1">
        <v>1.15E-5</v>
      </c>
      <c r="J58" s="1">
        <v>5.5800000000000001E-5</v>
      </c>
      <c r="K58" s="1">
        <v>9.9999999999999995E-8</v>
      </c>
      <c r="L58" s="1">
        <v>1.3999999999999999E-6</v>
      </c>
      <c r="M58" s="1">
        <v>0</v>
      </c>
      <c r="N58" s="1">
        <v>0</v>
      </c>
      <c r="O58" s="1">
        <v>0</v>
      </c>
      <c r="P58" s="1">
        <f ca="1">SUM(OFFSET($A$55,3,1,1,14))</f>
        <v>2619.1392076000002</v>
      </c>
      <c r="Q58" s="2">
        <f ca="1">SUM(OFFSET($A$55,3,1,1,12))</f>
        <v>2619.1392076000002</v>
      </c>
    </row>
    <row r="59" spans="1:17" x14ac:dyDescent="0.2">
      <c r="A59" s="1">
        <v>3</v>
      </c>
      <c r="B59" s="1">
        <v>5.5253240000000003</v>
      </c>
      <c r="C59" s="1">
        <v>3.5904910000000001</v>
      </c>
      <c r="D59" s="1">
        <v>109.626</v>
      </c>
      <c r="E59" s="1">
        <v>150.49789999999999</v>
      </c>
      <c r="F59" s="1">
        <v>0.68935100000000005</v>
      </c>
      <c r="G59" s="1">
        <v>9.1200000000000005E-4</v>
      </c>
      <c r="H59" s="1">
        <v>5.6322299999999999E-2</v>
      </c>
      <c r="I59" s="1">
        <v>1.808E-4</v>
      </c>
      <c r="J59" s="1">
        <v>3.3000000000000003E-5</v>
      </c>
      <c r="K59" s="1">
        <v>9.9999999999999995E-8</v>
      </c>
      <c r="L59" s="1">
        <v>9.9999999999999995E-8</v>
      </c>
      <c r="M59" s="1">
        <v>0</v>
      </c>
      <c r="N59" s="1">
        <v>0</v>
      </c>
      <c r="O59" s="1">
        <v>0</v>
      </c>
      <c r="P59" s="1">
        <f ca="1">SUM(OFFSET($A$55,4,1,1,14))</f>
        <v>269.98651430000001</v>
      </c>
      <c r="Q59" s="2">
        <f ca="1">SUM(OFFSET($A$55,4,1,1,12))</f>
        <v>269.98651430000001</v>
      </c>
    </row>
    <row r="60" spans="1:17" x14ac:dyDescent="0.2">
      <c r="A60" s="1">
        <v>4</v>
      </c>
      <c r="B60" s="1">
        <v>7.1287050000000001</v>
      </c>
      <c r="C60" s="1">
        <v>31.141290000000001</v>
      </c>
      <c r="D60" s="1">
        <v>131.25880000000001</v>
      </c>
      <c r="E60" s="1">
        <v>11920.87</v>
      </c>
      <c r="F60" s="1">
        <v>229.93180000000001</v>
      </c>
      <c r="G60" s="1">
        <v>0.56614039999999999</v>
      </c>
      <c r="H60" s="1">
        <v>58.759529999999998</v>
      </c>
      <c r="I60" s="1">
        <v>1.066271</v>
      </c>
      <c r="J60" s="1">
        <v>0.18224190000000001</v>
      </c>
      <c r="K60" s="1">
        <v>1.4564999999999999E-3</v>
      </c>
      <c r="L60" s="1">
        <v>9.2299999999999994E-5</v>
      </c>
      <c r="M60" s="1">
        <v>5.3000000000000001E-6</v>
      </c>
      <c r="N60" s="1">
        <v>0</v>
      </c>
      <c r="O60" s="1">
        <v>0</v>
      </c>
      <c r="P60" s="1">
        <f ca="1">SUM(OFFSET($A$55,5,1,1,14))</f>
        <v>12380.906332400002</v>
      </c>
      <c r="Q60" s="2">
        <f ca="1">SUM(OFFSET($A$55,5,1,1,12))</f>
        <v>12380.906332400002</v>
      </c>
    </row>
    <row r="61" spans="1:17" x14ac:dyDescent="0.2">
      <c r="A61" s="1">
        <v>5</v>
      </c>
      <c r="B61" s="1">
        <v>0.4063312</v>
      </c>
      <c r="C61" s="1">
        <v>17.214929999999999</v>
      </c>
      <c r="D61" s="1">
        <v>0.84550080000000005</v>
      </c>
      <c r="E61" s="1">
        <v>300.63380000000001</v>
      </c>
      <c r="F61" s="1">
        <v>3843.9160000000002</v>
      </c>
      <c r="G61" s="1">
        <v>189.5539</v>
      </c>
      <c r="H61" s="1">
        <v>50.939230000000002</v>
      </c>
      <c r="I61" s="1">
        <v>0.49802610000000003</v>
      </c>
      <c r="J61" s="1">
        <v>13.36486</v>
      </c>
      <c r="K61" s="1">
        <v>6.6441E-3</v>
      </c>
      <c r="L61" s="1">
        <v>3.5099900000000003E-2</v>
      </c>
      <c r="M61" s="1">
        <v>2.9101000000000001E-3</v>
      </c>
      <c r="N61" s="1">
        <v>0</v>
      </c>
      <c r="O61" s="1">
        <v>0</v>
      </c>
      <c r="P61" s="1">
        <f ca="1">SUM(OFFSET($A$55,6,1,1,14))</f>
        <v>4417.4172321999995</v>
      </c>
      <c r="Q61" s="2">
        <f ca="1">SUM(OFFSET($A$55,6,1,1,12))</f>
        <v>4417.4172321999995</v>
      </c>
    </row>
    <row r="62" spans="1:17" x14ac:dyDescent="0.2">
      <c r="A62" s="1">
        <v>6</v>
      </c>
      <c r="B62" s="1">
        <v>4.191E-4</v>
      </c>
      <c r="C62" s="1">
        <v>3.7287399999999998E-2</v>
      </c>
      <c r="D62" s="1">
        <v>1.5769E-3</v>
      </c>
      <c r="E62" s="1">
        <v>0.84854320000000005</v>
      </c>
      <c r="F62" s="1">
        <v>165.37970000000001</v>
      </c>
      <c r="G62" s="1">
        <v>3826.098</v>
      </c>
      <c r="H62" s="1">
        <v>5.2226700000000001E-2</v>
      </c>
      <c r="I62" s="1">
        <v>7.8220000000000004E-4</v>
      </c>
      <c r="J62" s="1">
        <v>2.4196620000000002</v>
      </c>
      <c r="K62" s="1">
        <v>6.0590000000000004E-4</v>
      </c>
      <c r="L62" s="1">
        <v>78.574669999999998</v>
      </c>
      <c r="M62" s="1">
        <v>8.1574800000000003E-2</v>
      </c>
      <c r="N62" s="1">
        <v>0</v>
      </c>
      <c r="O62" s="1">
        <v>0</v>
      </c>
      <c r="P62" s="1">
        <f ca="1">SUM(OFFSET($A$55,7,1,1,14))</f>
        <v>4073.4950481999999</v>
      </c>
      <c r="Q62" s="2">
        <f ca="1">SUM(OFFSET($A$55,7,1,1,12))</f>
        <v>4073.4950481999999</v>
      </c>
    </row>
    <row r="63" spans="1:17" x14ac:dyDescent="0.2">
      <c r="A63" s="1">
        <v>7</v>
      </c>
      <c r="B63" s="1">
        <v>3.7827E-3</v>
      </c>
      <c r="C63" s="1">
        <v>5.3546000000000002E-3</v>
      </c>
      <c r="D63" s="1">
        <v>7.7393799999999999E-2</v>
      </c>
      <c r="E63" s="1">
        <v>79.750320000000002</v>
      </c>
      <c r="F63" s="1">
        <v>10.376950000000001</v>
      </c>
      <c r="G63" s="1">
        <v>4.0159399999999998E-2</v>
      </c>
      <c r="H63" s="1">
        <v>3584.328</v>
      </c>
      <c r="I63" s="1">
        <v>17.77666</v>
      </c>
      <c r="J63" s="1">
        <v>9.8827309999999997</v>
      </c>
      <c r="K63" s="1">
        <v>4.2773899999999997E-2</v>
      </c>
      <c r="L63" s="1">
        <v>2.7500000000000001E-5</v>
      </c>
      <c r="M63" s="1">
        <v>1.5190000000000001E-4</v>
      </c>
      <c r="N63" s="1">
        <v>0</v>
      </c>
      <c r="O63" s="1">
        <v>0</v>
      </c>
      <c r="P63" s="1">
        <f ca="1">SUM(OFFSET($A$55,8,1,1,14))</f>
        <v>3702.2843048000009</v>
      </c>
      <c r="Q63" s="2">
        <f ca="1">SUM(OFFSET($A$55,8,1,1,12))</f>
        <v>3702.2843048000009</v>
      </c>
    </row>
    <row r="64" spans="1:17" x14ac:dyDescent="0.2">
      <c r="A64" s="1">
        <v>8</v>
      </c>
      <c r="B64" s="1">
        <v>1.1999999999999999E-6</v>
      </c>
      <c r="C64" s="1">
        <v>1.1399999999999999E-5</v>
      </c>
      <c r="D64" s="1">
        <v>2.5549999999999998E-4</v>
      </c>
      <c r="E64" s="1">
        <v>1.433249</v>
      </c>
      <c r="F64" s="1">
        <v>0.39148680000000002</v>
      </c>
      <c r="G64" s="1">
        <v>5.8909999999999995E-4</v>
      </c>
      <c r="H64" s="1">
        <v>17.89011</v>
      </c>
      <c r="I64" s="1">
        <v>699.05190000000005</v>
      </c>
      <c r="J64" s="1">
        <v>17.389880000000002</v>
      </c>
      <c r="K64" s="1">
        <v>0.46455940000000001</v>
      </c>
      <c r="L64" s="1">
        <v>1.9999999999999999E-7</v>
      </c>
      <c r="M64" s="1">
        <v>1.1945E-3</v>
      </c>
      <c r="N64" s="1">
        <v>0</v>
      </c>
      <c r="O64" s="1">
        <v>0</v>
      </c>
      <c r="P64" s="1">
        <f ca="1">SUM(OFFSET($A$55,9,1,1,14))</f>
        <v>736.62323709999998</v>
      </c>
      <c r="Q64" s="2">
        <f ca="1">SUM(OFFSET($A$55,9,1,1,12))</f>
        <v>736.62323709999998</v>
      </c>
    </row>
    <row r="65" spans="1:17" x14ac:dyDescent="0.2">
      <c r="A65" s="1">
        <v>9</v>
      </c>
      <c r="B65" s="1">
        <v>5.9999999999999997E-7</v>
      </c>
      <c r="C65" s="1">
        <v>4.32E-5</v>
      </c>
      <c r="D65" s="1">
        <v>3.7499999999999997E-5</v>
      </c>
      <c r="E65" s="1">
        <v>0.20359169999999999</v>
      </c>
      <c r="F65" s="1">
        <v>9.9439609999999998</v>
      </c>
      <c r="G65" s="1">
        <v>1.6702049999999999</v>
      </c>
      <c r="H65" s="1">
        <v>8.3901800000000009</v>
      </c>
      <c r="I65" s="1">
        <v>21.371569999999998</v>
      </c>
      <c r="J65" s="1">
        <v>8571.4539999999997</v>
      </c>
      <c r="K65" s="1">
        <v>124.5497</v>
      </c>
      <c r="L65" s="1">
        <v>1.51813E-2</v>
      </c>
      <c r="M65" s="1">
        <v>67.392390000000006</v>
      </c>
      <c r="N65" s="1">
        <v>4.9999999999999998E-7</v>
      </c>
      <c r="O65" s="1">
        <v>4.3233999999999998E-3</v>
      </c>
      <c r="P65" s="1">
        <f ca="1">SUM(OFFSET($A$55,10,1,1,14))</f>
        <v>8804.9951842000009</v>
      </c>
      <c r="Q65" s="2">
        <f ca="1">SUM(OFFSET($A$55,10,1,1,12))</f>
        <v>8804.9908603000003</v>
      </c>
    </row>
    <row r="66" spans="1:17" x14ac:dyDescent="0.2">
      <c r="A66" s="1">
        <v>10</v>
      </c>
      <c r="B66" s="1">
        <v>0</v>
      </c>
      <c r="C66" s="1">
        <v>9.9999999999999995E-8</v>
      </c>
      <c r="D66" s="1">
        <v>1.9999999999999999E-7</v>
      </c>
      <c r="E66" s="1">
        <v>2.1362E-3</v>
      </c>
      <c r="F66" s="1">
        <v>5.9167000000000004E-3</v>
      </c>
      <c r="G66" s="1">
        <v>4.8809999999999999E-4</v>
      </c>
      <c r="H66" s="1">
        <v>3.6897600000000003E-2</v>
      </c>
      <c r="I66" s="1">
        <v>0.49618250000000003</v>
      </c>
      <c r="J66" s="1">
        <v>118.3959</v>
      </c>
      <c r="K66" s="1">
        <v>1167.575</v>
      </c>
      <c r="L66" s="1">
        <v>4.8999999999999997E-6</v>
      </c>
      <c r="M66" s="1">
        <v>1.7153620000000001</v>
      </c>
      <c r="N66" s="1">
        <v>0</v>
      </c>
      <c r="O66" s="1">
        <v>1.0000000000000001E-5</v>
      </c>
      <c r="P66" s="1">
        <f ca="1">SUM(OFFSET($A$55,11,1,1,14))</f>
        <v>1288.2278982999999</v>
      </c>
      <c r="Q66" s="2">
        <f ca="1">SUM(OFFSET($A$55,11,1,1,12))</f>
        <v>1288.2278882999999</v>
      </c>
    </row>
    <row r="67" spans="1:17" x14ac:dyDescent="0.2">
      <c r="A67" s="1">
        <v>11</v>
      </c>
      <c r="B67" s="1">
        <v>0</v>
      </c>
      <c r="C67" s="1">
        <v>2.3999999999999999E-6</v>
      </c>
      <c r="D67" s="1">
        <v>1.9999999999999999E-7</v>
      </c>
      <c r="E67" s="1">
        <v>1.8799999999999999E-4</v>
      </c>
      <c r="F67" s="1">
        <v>3.3146599999999998E-2</v>
      </c>
      <c r="G67" s="1">
        <v>48.206440000000001</v>
      </c>
      <c r="H67" s="1">
        <v>4.6699999999999997E-5</v>
      </c>
      <c r="I67" s="1">
        <v>2.9999999999999999E-7</v>
      </c>
      <c r="J67" s="1">
        <v>1.48716E-2</v>
      </c>
      <c r="K67" s="1">
        <v>3.8999999999999999E-6</v>
      </c>
      <c r="L67" s="1">
        <v>993.82259999999997</v>
      </c>
      <c r="M67" s="1">
        <v>8.0322500000000005E-2</v>
      </c>
      <c r="N67" s="1">
        <v>0</v>
      </c>
      <c r="O67" s="1">
        <v>1.7999999999999999E-6</v>
      </c>
      <c r="P67" s="1">
        <f ca="1">SUM(OFFSET($A$55,12,1,1,14))</f>
        <v>1042.1576239999999</v>
      </c>
      <c r="Q67" s="2">
        <f ca="1">SUM(OFFSET($A$55,12,1,1,12))</f>
        <v>1042.1576221999999</v>
      </c>
    </row>
    <row r="68" spans="1:17" x14ac:dyDescent="0.2">
      <c r="A68" s="1">
        <v>12</v>
      </c>
      <c r="B68" s="1">
        <v>0</v>
      </c>
      <c r="C68" s="1">
        <v>1.9999999999999999E-7</v>
      </c>
      <c r="D68" s="1">
        <v>0</v>
      </c>
      <c r="E68" s="1">
        <v>1.0000000000000001E-5</v>
      </c>
      <c r="F68" s="1">
        <v>3.3904E-3</v>
      </c>
      <c r="G68" s="1">
        <v>7.0250800000000002E-2</v>
      </c>
      <c r="H68" s="1">
        <v>1.0060000000000001E-4</v>
      </c>
      <c r="I68" s="1">
        <v>1.3010000000000001E-3</v>
      </c>
      <c r="J68" s="1">
        <v>78.488519999999994</v>
      </c>
      <c r="K68" s="1">
        <v>2.161492</v>
      </c>
      <c r="L68" s="1">
        <v>8.2706000000000002E-2</v>
      </c>
      <c r="M68" s="1">
        <v>1123.367</v>
      </c>
      <c r="N68" s="1">
        <v>3.1350000000000002E-3</v>
      </c>
      <c r="O68" s="1">
        <v>14.84137</v>
      </c>
      <c r="P68" s="1">
        <f ca="1">SUM(OFFSET($A$55,13,1,1,14))</f>
        <v>1219.019276</v>
      </c>
      <c r="Q68" s="2">
        <f ca="1">SUM(OFFSET($A$55,13,1,1,12))</f>
        <v>1204.174771</v>
      </c>
    </row>
    <row r="69" spans="1:17" x14ac:dyDescent="0.2">
      <c r="A69" s="1">
        <v>13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2.7724999999999998E-3</v>
      </c>
      <c r="N69" s="1">
        <v>259.19779999999997</v>
      </c>
      <c r="O69" s="1">
        <v>16.711559999999999</v>
      </c>
      <c r="P69" s="1">
        <f ca="1">SUM(OFFSET($A$55,14,1,1,14))</f>
        <v>275.91213249999998</v>
      </c>
      <c r="Q69" s="2">
        <f ca="1">SUM(OFFSET($A$55,14,1,1,12))</f>
        <v>2.7724999999999998E-3</v>
      </c>
    </row>
    <row r="70" spans="1:17" x14ac:dyDescent="0.2">
      <c r="A70" s="1">
        <v>14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1.5954999999999999E-3</v>
      </c>
      <c r="K70" s="1">
        <v>0</v>
      </c>
      <c r="L70" s="1">
        <v>0</v>
      </c>
      <c r="M70" s="1">
        <v>12.882350000000001</v>
      </c>
      <c r="N70" s="1">
        <v>15.74539</v>
      </c>
      <c r="O70" s="1">
        <v>1828.9860000000001</v>
      </c>
      <c r="P70" s="1">
        <f ca="1">SUM(OFFSET($A$55,15,1,1,14))</f>
        <v>1857.6153355000001</v>
      </c>
      <c r="Q70" s="2">
        <f ca="1">SUM(OFFSET($A$55,15,1,1,12))</f>
        <v>12.883945500000001</v>
      </c>
    </row>
    <row r="71" spans="1:17" x14ac:dyDescent="0.2">
      <c r="A71" s="1" t="s">
        <v>43</v>
      </c>
      <c r="B71" s="1">
        <f ca="1">SUM(OFFSET($A$55,2,1,14,1))</f>
        <v>828.4434637999999</v>
      </c>
      <c r="C71" s="1">
        <f ca="1">SUM(OFFSET($A$55,2,2,14,1))</f>
        <v>2588.7204103000004</v>
      </c>
      <c r="D71" s="1">
        <f ca="1">SUM(OFFSET($A$55,2,3,14,1))</f>
        <v>252.84458789999999</v>
      </c>
      <c r="E71" s="1">
        <f ca="1">SUM(OFFSET($A$55,2,4,14,1))</f>
        <v>12500.400966099998</v>
      </c>
      <c r="F71" s="1">
        <f ca="1">SUM(OFFSET($A$55,2,5,14,1))</f>
        <v>4276.3823519000007</v>
      </c>
      <c r="G71" s="1">
        <f ca="1">SUM(OFFSET($A$55,2,6,14,1))</f>
        <v>4066.2335581999996</v>
      </c>
      <c r="H71" s="1">
        <f ca="1">SUM(OFFSET($A$55,2,7,14,1))</f>
        <v>3720.4615489999996</v>
      </c>
      <c r="I71" s="1">
        <f ca="1">SUM(OFFSET($A$55,2,8,14,1))</f>
        <v>740.26288640000007</v>
      </c>
      <c r="J71" s="1">
        <f ca="1">SUM(OFFSET($A$55,2,9,14,1))</f>
        <v>8811.5943516000007</v>
      </c>
      <c r="K71" s="1">
        <f ca="1">SUM(OFFSET($A$55,2,10,14,1))</f>
        <v>1294.8022358999999</v>
      </c>
      <c r="L71" s="1">
        <f ca="1">SUM(OFFSET($A$55,2,11,14,1))</f>
        <v>1072.5303835999998</v>
      </c>
      <c r="M71" s="1">
        <f ca="1">SUM(OFFSET($A$55,2,12,14,1))</f>
        <v>1205.5260336000001</v>
      </c>
      <c r="N71" s="1">
        <f ca="1">SUM(OFFSET($A$55,2,13,14,1))</f>
        <v>274.94632549999994</v>
      </c>
      <c r="O71" s="1">
        <f ca="1">SUM(OFFSET($A$55,2,14,14,1))</f>
        <v>1860.5432652000002</v>
      </c>
      <c r="P71" s="1">
        <f ca="1">SUM(OFFSET($A$55,16,1,1,14))</f>
        <v>43493.692369000011</v>
      </c>
      <c r="Q71" s="2">
        <f ca="1">SUM(OFFSET($A$55,16,1,1,12))</f>
        <v>41358.202778300009</v>
      </c>
    </row>
    <row r="72" spans="1:17" x14ac:dyDescent="0.2">
      <c r="O72" s="11" t="s">
        <v>59</v>
      </c>
      <c r="P72" s="1">
        <f ca="1">SUM(OFFSET($B$57,0,0,12,12))</f>
        <v>41345.316060300014</v>
      </c>
    </row>
    <row r="73" spans="1:17" x14ac:dyDescent="0.2">
      <c r="A73" s="1" t="s">
        <v>95</v>
      </c>
    </row>
    <row r="74" spans="1:17" x14ac:dyDescent="0.2">
      <c r="B74" s="1">
        <v>1</v>
      </c>
      <c r="C74" s="1">
        <v>2</v>
      </c>
      <c r="D74" s="1">
        <v>3</v>
      </c>
      <c r="E74" s="1">
        <v>4</v>
      </c>
      <c r="F74" s="1">
        <v>5</v>
      </c>
      <c r="G74" s="1">
        <v>6</v>
      </c>
      <c r="H74" s="1">
        <v>7</v>
      </c>
      <c r="I74" s="1">
        <v>8</v>
      </c>
      <c r="J74" s="1">
        <v>9</v>
      </c>
      <c r="K74" s="1">
        <v>10</v>
      </c>
      <c r="L74" s="1">
        <v>11</v>
      </c>
      <c r="M74" s="1">
        <v>12</v>
      </c>
      <c r="N74" s="1">
        <v>13</v>
      </c>
      <c r="O74" s="1">
        <v>14</v>
      </c>
      <c r="P74" s="1" t="s">
        <v>43</v>
      </c>
      <c r="Q74" s="2" t="s">
        <v>61</v>
      </c>
    </row>
    <row r="75" spans="1:17" x14ac:dyDescent="0.2">
      <c r="A75" s="1">
        <v>1</v>
      </c>
      <c r="B75" s="1">
        <v>0</v>
      </c>
      <c r="C75" s="1">
        <v>0.20234360000000001</v>
      </c>
      <c r="D75" s="1">
        <v>2.0648300000000002</v>
      </c>
      <c r="E75" s="1">
        <v>16.099060000000001</v>
      </c>
      <c r="F75" s="1">
        <v>0.69436620000000004</v>
      </c>
      <c r="G75" s="1">
        <v>1.1964E-3</v>
      </c>
      <c r="H75" s="1">
        <v>2.3871300000000002E-2</v>
      </c>
      <c r="I75" s="1">
        <v>5.8000000000000004E-6</v>
      </c>
      <c r="J75" s="1">
        <v>2.41E-5</v>
      </c>
      <c r="K75" s="1">
        <v>0</v>
      </c>
      <c r="L75" s="1">
        <v>9.9999999999999995E-8</v>
      </c>
      <c r="M75" s="1">
        <v>0</v>
      </c>
      <c r="N75" s="1">
        <v>0</v>
      </c>
      <c r="O75" s="1">
        <v>0</v>
      </c>
      <c r="P75" s="1">
        <f ca="1">SUM(OFFSET($A$73,2,1,1,14))</f>
        <v>19.085697500000006</v>
      </c>
      <c r="Q75" s="2">
        <f ca="1">SUM(OFFSET($A$73,2,1,1,12))</f>
        <v>19.085697500000006</v>
      </c>
    </row>
    <row r="76" spans="1:17" x14ac:dyDescent="0.2">
      <c r="A76" s="1">
        <v>2</v>
      </c>
      <c r="B76" s="1">
        <v>0</v>
      </c>
      <c r="C76" s="1">
        <v>0</v>
      </c>
      <c r="D76" s="1">
        <v>6.3882440000000003</v>
      </c>
      <c r="E76" s="1">
        <v>23.494319999999998</v>
      </c>
      <c r="F76" s="1">
        <v>8.1047580000000004</v>
      </c>
      <c r="G76" s="1">
        <v>0.1201723</v>
      </c>
      <c r="H76" s="1">
        <v>2.1215000000000001E-2</v>
      </c>
      <c r="I76" s="1">
        <v>5.38E-5</v>
      </c>
      <c r="J76" s="1">
        <v>1.4147999999999999E-3</v>
      </c>
      <c r="K76" s="1">
        <v>3.9999999999999998E-7</v>
      </c>
      <c r="L76" s="1">
        <v>9.9000000000000001E-6</v>
      </c>
      <c r="M76" s="1">
        <v>1.7999999999999999E-6</v>
      </c>
      <c r="N76" s="1">
        <v>0</v>
      </c>
      <c r="O76" s="1">
        <v>0</v>
      </c>
      <c r="P76" s="1">
        <f ca="1">SUM(OFFSET($A$73,3,1,1,14))</f>
        <v>38.130189999999999</v>
      </c>
      <c r="Q76" s="2">
        <f ca="1">SUM(OFFSET($A$73,3,1,1,12))</f>
        <v>38.130189999999999</v>
      </c>
    </row>
    <row r="77" spans="1:17" x14ac:dyDescent="0.2">
      <c r="A77" s="1">
        <v>3</v>
      </c>
      <c r="B77" s="1">
        <v>1.5688439999999999</v>
      </c>
      <c r="C77" s="1">
        <v>4.8465309999999997</v>
      </c>
      <c r="D77" s="1">
        <v>38.227730000000001</v>
      </c>
      <c r="E77" s="1">
        <v>258.41649999999998</v>
      </c>
      <c r="F77" s="1">
        <v>2.531453</v>
      </c>
      <c r="G77" s="1">
        <v>7.6538999999999999E-3</v>
      </c>
      <c r="H77" s="1">
        <v>0.90526180000000001</v>
      </c>
      <c r="I77" s="1">
        <v>1.3921000000000001E-3</v>
      </c>
      <c r="J77" s="1">
        <v>1.4487E-3</v>
      </c>
      <c r="K77" s="1">
        <v>1.1999999999999999E-6</v>
      </c>
      <c r="L77" s="1">
        <v>1.1000000000000001E-6</v>
      </c>
      <c r="M77" s="1">
        <v>1.9999999999999999E-7</v>
      </c>
      <c r="N77" s="1">
        <v>0</v>
      </c>
      <c r="O77" s="1">
        <v>0</v>
      </c>
      <c r="P77" s="1">
        <f ca="1">SUM(OFFSET($A$73,4,1,1,14))</f>
        <v>306.50681699999996</v>
      </c>
      <c r="Q77" s="2">
        <f ca="1">SUM(OFFSET($A$73,4,1,1,12))</f>
        <v>306.50681699999996</v>
      </c>
    </row>
    <row r="78" spans="1:17" x14ac:dyDescent="0.2">
      <c r="A78" s="1">
        <v>4</v>
      </c>
      <c r="B78" s="1">
        <v>15.505559999999999</v>
      </c>
      <c r="C78" s="1">
        <v>19.57152</v>
      </c>
      <c r="D78" s="1">
        <v>289.12610000000001</v>
      </c>
      <c r="E78" s="1">
        <v>699.49969999999996</v>
      </c>
      <c r="F78" s="1">
        <v>319.4556</v>
      </c>
      <c r="G78" s="1">
        <v>3.3079800000000001</v>
      </c>
      <c r="H78" s="1">
        <v>155.95660000000001</v>
      </c>
      <c r="I78" s="1">
        <v>3.0597690000000002</v>
      </c>
      <c r="J78" s="1">
        <v>1.380695</v>
      </c>
      <c r="K78" s="1">
        <v>4.5611000000000002E-3</v>
      </c>
      <c r="L78" s="1">
        <v>7.2329999999999996E-4</v>
      </c>
      <c r="M78" s="1">
        <v>6.6099999999999994E-5</v>
      </c>
      <c r="N78" s="1">
        <v>0</v>
      </c>
      <c r="O78" s="1">
        <v>0</v>
      </c>
      <c r="P78" s="1">
        <f ca="1">SUM(OFFSET($A$73,5,1,1,14))</f>
        <v>1506.8688744999999</v>
      </c>
      <c r="Q78" s="2">
        <f ca="1">SUM(OFFSET($A$73,5,1,1,12))</f>
        <v>1506.8688744999999</v>
      </c>
    </row>
    <row r="79" spans="1:17" x14ac:dyDescent="0.2">
      <c r="A79" s="1">
        <v>5</v>
      </c>
      <c r="B79" s="1">
        <v>0.83185600000000004</v>
      </c>
      <c r="C79" s="1">
        <v>9.6320739999999994</v>
      </c>
      <c r="D79" s="1">
        <v>3.3320349999999999</v>
      </c>
      <c r="E79" s="1">
        <v>408.67950000000002</v>
      </c>
      <c r="F79" s="1">
        <v>1430.8689999999999</v>
      </c>
      <c r="G79" s="1">
        <v>220.6285</v>
      </c>
      <c r="H79" s="1">
        <v>17.826360000000001</v>
      </c>
      <c r="I79" s="1">
        <v>0.220475</v>
      </c>
      <c r="J79" s="1">
        <v>84.568929999999995</v>
      </c>
      <c r="K79" s="1">
        <v>3.0427699999999998E-2</v>
      </c>
      <c r="L79" s="1">
        <v>6.7390199999999997E-2</v>
      </c>
      <c r="M79" s="1">
        <v>2.0520400000000001E-2</v>
      </c>
      <c r="N79" s="1">
        <v>0</v>
      </c>
      <c r="O79" s="1">
        <v>8.9999999999999996E-7</v>
      </c>
      <c r="P79" s="1">
        <f ca="1">SUM(OFFSET($A$73,6,1,1,14))</f>
        <v>2176.7070691999998</v>
      </c>
      <c r="Q79" s="2">
        <f ca="1">SUM(OFFSET($A$73,6,1,1,12))</f>
        <v>2176.7070682999997</v>
      </c>
    </row>
    <row r="80" spans="1:17" x14ac:dyDescent="0.2">
      <c r="A80" s="1">
        <v>6</v>
      </c>
      <c r="B80" s="1">
        <v>1.2928E-3</v>
      </c>
      <c r="C80" s="1">
        <v>0.1312123</v>
      </c>
      <c r="D80" s="1">
        <v>9.4648000000000006E-3</v>
      </c>
      <c r="E80" s="1">
        <v>3.9559519999999999</v>
      </c>
      <c r="F80" s="1">
        <v>212.23179999999999</v>
      </c>
      <c r="G80" s="1">
        <v>120.1566</v>
      </c>
      <c r="H80" s="1">
        <v>0.19627890000000001</v>
      </c>
      <c r="I80" s="1">
        <v>3.4535999999999998E-3</v>
      </c>
      <c r="J80" s="1">
        <v>28.626809999999999</v>
      </c>
      <c r="K80" s="1">
        <v>5.6874999999999998E-3</v>
      </c>
      <c r="L80" s="1">
        <v>0.1069126</v>
      </c>
      <c r="M80" s="1">
        <v>0.16628009999999999</v>
      </c>
      <c r="N80" s="1">
        <v>0</v>
      </c>
      <c r="O80" s="1">
        <v>1.5999999999999999E-6</v>
      </c>
      <c r="P80" s="1">
        <f ca="1">SUM(OFFSET($A$73,7,1,1,14))</f>
        <v>365.59174619999999</v>
      </c>
      <c r="Q80" s="2">
        <f ca="1">SUM(OFFSET($A$73,7,1,1,12))</f>
        <v>365.59174459999997</v>
      </c>
    </row>
    <row r="81" spans="1:17" x14ac:dyDescent="0.2">
      <c r="A81" s="1">
        <v>7</v>
      </c>
      <c r="B81" s="1">
        <v>2.4172599999999999E-2</v>
      </c>
      <c r="C81" s="1">
        <v>1.9431799999999999E-2</v>
      </c>
      <c r="D81" s="1">
        <v>0.98420879999999999</v>
      </c>
      <c r="E81" s="1">
        <v>176.96340000000001</v>
      </c>
      <c r="F81" s="1">
        <v>13.21931</v>
      </c>
      <c r="G81" s="1">
        <v>0.1474501</v>
      </c>
      <c r="H81" s="1">
        <v>110.74939999999999</v>
      </c>
      <c r="I81" s="1">
        <v>3.1577739999999999</v>
      </c>
      <c r="J81" s="1">
        <v>2.1331030000000002</v>
      </c>
      <c r="K81" s="1">
        <v>2.4065400000000001E-2</v>
      </c>
      <c r="L81" s="1">
        <v>1.169E-4</v>
      </c>
      <c r="M81" s="1">
        <v>2.676E-4</v>
      </c>
      <c r="N81" s="1">
        <v>0</v>
      </c>
      <c r="O81" s="1">
        <v>0</v>
      </c>
      <c r="P81" s="1">
        <f ca="1">SUM(OFFSET($A$73,8,1,1,14))</f>
        <v>307.42270020000001</v>
      </c>
      <c r="Q81" s="2">
        <f ca="1">SUM(OFFSET($A$73,8,1,1,12))</f>
        <v>307.42270020000001</v>
      </c>
    </row>
    <row r="82" spans="1:17" x14ac:dyDescent="0.2">
      <c r="A82" s="1">
        <v>8</v>
      </c>
      <c r="B82" s="1">
        <v>5.9000000000000003E-6</v>
      </c>
      <c r="C82" s="1">
        <v>4.99E-5</v>
      </c>
      <c r="D82" s="1">
        <v>1.5533999999999999E-3</v>
      </c>
      <c r="E82" s="1">
        <v>3.302969</v>
      </c>
      <c r="F82" s="1">
        <v>0.1991388</v>
      </c>
      <c r="G82" s="1">
        <v>2.9228000000000001E-3</v>
      </c>
      <c r="H82" s="1">
        <v>1.6520429999999999</v>
      </c>
      <c r="I82" s="1">
        <v>4.5130000000000002E-4</v>
      </c>
      <c r="J82" s="1">
        <v>0.42254350000000002</v>
      </c>
      <c r="K82" s="1">
        <v>2.5636999999999999E-3</v>
      </c>
      <c r="L82" s="1">
        <v>8.9999999999999996E-7</v>
      </c>
      <c r="M82" s="1">
        <v>5.6939999999999996E-4</v>
      </c>
      <c r="N82" s="1">
        <v>0</v>
      </c>
      <c r="O82" s="1">
        <v>0</v>
      </c>
      <c r="P82" s="1">
        <f ca="1">SUM(OFFSET($A$73,9,1,1,14))</f>
        <v>5.5848115999999983</v>
      </c>
      <c r="Q82" s="2">
        <f ca="1">SUM(OFFSET($A$73,9,1,1,12))</f>
        <v>5.5848115999999983</v>
      </c>
    </row>
    <row r="83" spans="1:17" x14ac:dyDescent="0.2">
      <c r="A83" s="1">
        <v>9</v>
      </c>
      <c r="B83" s="1">
        <v>2.9E-5</v>
      </c>
      <c r="C83" s="1">
        <v>1.6146000000000001E-3</v>
      </c>
      <c r="D83" s="1">
        <v>1.903E-3</v>
      </c>
      <c r="E83" s="1">
        <v>1.7770280000000001</v>
      </c>
      <c r="F83" s="1">
        <v>83.96566</v>
      </c>
      <c r="G83" s="1">
        <v>33.108269999999997</v>
      </c>
      <c r="H83" s="1">
        <v>5.3155780000000004</v>
      </c>
      <c r="I83" s="1">
        <v>0.80868209999999996</v>
      </c>
      <c r="J83" s="1">
        <v>465.69630000000001</v>
      </c>
      <c r="K83" s="1">
        <v>0.49624570000000001</v>
      </c>
      <c r="L83" s="1">
        <v>1.0433100000000001E-2</v>
      </c>
      <c r="M83" s="1">
        <v>0.1222332</v>
      </c>
      <c r="N83" s="1">
        <v>0</v>
      </c>
      <c r="O83" s="1">
        <v>2.8399999999999999E-5</v>
      </c>
      <c r="P83" s="1">
        <f ca="1">SUM(OFFSET($A$73,10,1,1,14))</f>
        <v>591.30400510000004</v>
      </c>
      <c r="Q83" s="2">
        <f ca="1">SUM(OFFSET($A$73,10,1,1,12))</f>
        <v>591.30397670000002</v>
      </c>
    </row>
    <row r="84" spans="1:17" x14ac:dyDescent="0.2">
      <c r="A84" s="1">
        <v>10</v>
      </c>
      <c r="B84" s="1">
        <v>0</v>
      </c>
      <c r="C84" s="1">
        <v>3.9999999999999998E-7</v>
      </c>
      <c r="D84" s="1">
        <v>1.3999999999999999E-6</v>
      </c>
      <c r="E84" s="1">
        <v>4.6700999999999999E-3</v>
      </c>
      <c r="F84" s="1">
        <v>3.0842600000000001E-2</v>
      </c>
      <c r="G84" s="1">
        <v>6.3546000000000002E-3</v>
      </c>
      <c r="H84" s="1">
        <v>3.6511099999999998E-2</v>
      </c>
      <c r="I84" s="1">
        <v>3.9443000000000004E-3</v>
      </c>
      <c r="J84" s="1">
        <v>0.62305169999999999</v>
      </c>
      <c r="K84" s="1">
        <v>0</v>
      </c>
      <c r="L84" s="1">
        <v>4.7999999999999998E-6</v>
      </c>
      <c r="M84" s="1">
        <v>0</v>
      </c>
      <c r="N84" s="1">
        <v>0</v>
      </c>
      <c r="O84" s="1">
        <v>0</v>
      </c>
      <c r="P84" s="1">
        <f ca="1">SUM(OFFSET($A$73,11,1,1,14))</f>
        <v>0.70538100000000004</v>
      </c>
      <c r="Q84" s="2">
        <f ca="1">SUM(OFFSET($A$73,11,1,1,12))</f>
        <v>0.70538100000000004</v>
      </c>
    </row>
    <row r="85" spans="1:17" x14ac:dyDescent="0.2">
      <c r="A85" s="1">
        <v>11</v>
      </c>
      <c r="B85" s="1">
        <v>9.9999999999999995E-8</v>
      </c>
      <c r="C85" s="1">
        <v>9.7999999999999993E-6</v>
      </c>
      <c r="D85" s="1">
        <v>1.3999999999999999E-6</v>
      </c>
      <c r="E85" s="1">
        <v>7.1860000000000001E-4</v>
      </c>
      <c r="F85" s="1">
        <v>5.7486099999999998E-2</v>
      </c>
      <c r="G85" s="1">
        <v>64.254900000000006</v>
      </c>
      <c r="H85" s="1">
        <v>1.13E-4</v>
      </c>
      <c r="I85" s="1">
        <v>6.9999999999999997E-7</v>
      </c>
      <c r="J85" s="1">
        <v>9.6980999999999994E-3</v>
      </c>
      <c r="K85" s="1">
        <v>6.6000000000000003E-6</v>
      </c>
      <c r="L85" s="1">
        <v>5.1498400000000002</v>
      </c>
      <c r="M85" s="1">
        <v>2.0890000000000001E-4</v>
      </c>
      <c r="N85" s="1">
        <v>0</v>
      </c>
      <c r="O85" s="1">
        <v>0</v>
      </c>
      <c r="P85" s="1">
        <f ca="1">SUM(OFFSET($A$73,12,1,1,14))</f>
        <v>69.47298330000001</v>
      </c>
      <c r="Q85" s="2">
        <f ca="1">SUM(OFFSET($A$73,12,1,1,12))</f>
        <v>69.47298330000001</v>
      </c>
    </row>
    <row r="86" spans="1:17" x14ac:dyDescent="0.2">
      <c r="A86" s="1">
        <v>12</v>
      </c>
      <c r="B86" s="1">
        <v>0</v>
      </c>
      <c r="C86" s="1">
        <v>1.5999999999999999E-6</v>
      </c>
      <c r="D86" s="1">
        <v>1.9999999999999999E-7</v>
      </c>
      <c r="E86" s="1">
        <v>7.3300000000000006E-5</v>
      </c>
      <c r="F86" s="1">
        <v>1.6539600000000002E-2</v>
      </c>
      <c r="G86" s="1">
        <v>0.20706830000000001</v>
      </c>
      <c r="H86" s="1">
        <v>3.9179999999999998E-4</v>
      </c>
      <c r="I86" s="1">
        <v>7.5560000000000004E-4</v>
      </c>
      <c r="J86" s="1">
        <v>0.1203171</v>
      </c>
      <c r="K86" s="1">
        <v>0</v>
      </c>
      <c r="L86" s="1">
        <v>4.9999999999999998E-7</v>
      </c>
      <c r="M86" s="1">
        <v>0</v>
      </c>
      <c r="N86" s="1">
        <v>0</v>
      </c>
      <c r="O86" s="1">
        <v>0</v>
      </c>
      <c r="P86" s="1">
        <f ca="1">SUM(OFFSET($A$73,13,1,1,14))</f>
        <v>0.34514800000000001</v>
      </c>
      <c r="Q86" s="2">
        <f ca="1">SUM(OFFSET($A$73,13,1,1,12))</f>
        <v>0.34514800000000001</v>
      </c>
    </row>
    <row r="87" spans="1:17" x14ac:dyDescent="0.2">
      <c r="A87" s="1">
        <v>13</v>
      </c>
      <c r="B87" s="1">
        <v>0</v>
      </c>
      <c r="C87" s="1">
        <v>0</v>
      </c>
      <c r="D87" s="1">
        <v>0</v>
      </c>
      <c r="E87" s="1">
        <v>0</v>
      </c>
      <c r="F87" s="1">
        <v>3.9999999999999998E-7</v>
      </c>
      <c r="G87" s="1">
        <v>2.6570000000000001E-4</v>
      </c>
      <c r="H87" s="1">
        <v>0</v>
      </c>
      <c r="I87" s="1">
        <v>0</v>
      </c>
      <c r="J87" s="1">
        <v>1.22E-5</v>
      </c>
      <c r="K87" s="1">
        <v>0</v>
      </c>
      <c r="L87" s="1">
        <v>0.2118189</v>
      </c>
      <c r="M87" s="1">
        <v>6.3330000000000005E-4</v>
      </c>
      <c r="N87" s="1">
        <v>0</v>
      </c>
      <c r="O87" s="1">
        <v>0</v>
      </c>
      <c r="P87" s="1">
        <f ca="1">SUM(OFFSET($A$73,14,1,1,14))</f>
        <v>0.21273050000000002</v>
      </c>
      <c r="Q87" s="2">
        <f ca="1">SUM(OFFSET($A$73,14,1,1,12))</f>
        <v>0.21273050000000002</v>
      </c>
    </row>
    <row r="88" spans="1:17" x14ac:dyDescent="0.2">
      <c r="A88" s="1">
        <v>14</v>
      </c>
      <c r="B88" s="1">
        <v>0</v>
      </c>
      <c r="C88" s="1">
        <v>0</v>
      </c>
      <c r="D88" s="1">
        <v>0</v>
      </c>
      <c r="E88" s="1">
        <v>0</v>
      </c>
      <c r="F88" s="1">
        <v>1.9999999999999999E-7</v>
      </c>
      <c r="G88" s="1">
        <v>1.5E-5</v>
      </c>
      <c r="H88" s="1">
        <v>0</v>
      </c>
      <c r="I88" s="1">
        <v>0</v>
      </c>
      <c r="J88" s="1">
        <v>7.0699999999999995E-4</v>
      </c>
      <c r="K88" s="1">
        <v>0</v>
      </c>
      <c r="L88" s="1">
        <v>6.1904000000000004E-3</v>
      </c>
      <c r="M88" s="1">
        <v>1.5611399999999999E-2</v>
      </c>
      <c r="N88" s="1">
        <v>0</v>
      </c>
      <c r="O88" s="1">
        <v>0</v>
      </c>
      <c r="P88" s="1">
        <f ca="1">SUM(OFFSET($A$73,15,1,1,14))</f>
        <v>2.2523999999999999E-2</v>
      </c>
      <c r="Q88" s="2">
        <f ca="1">SUM(OFFSET($A$73,15,1,1,12))</f>
        <v>2.2523999999999999E-2</v>
      </c>
    </row>
    <row r="89" spans="1:17" x14ac:dyDescent="0.2">
      <c r="A89" s="1" t="s">
        <v>43</v>
      </c>
      <c r="B89" s="1">
        <f ca="1">SUM(OFFSET($A$73,2,1,14,1))</f>
        <v>17.931760400000002</v>
      </c>
      <c r="C89" s="1">
        <f ca="1">SUM(OFFSET($A$73,2,2,14,1))</f>
        <v>34.404789000000001</v>
      </c>
      <c r="D89" s="1">
        <f ca="1">SUM(OFFSET($A$73,2,3,14,1))</f>
        <v>340.13607199999996</v>
      </c>
      <c r="E89" s="1">
        <f ca="1">SUM(OFFSET($A$73,2,4,14,1))</f>
        <v>1592.1938910000001</v>
      </c>
      <c r="F89" s="1">
        <f ca="1">SUM(OFFSET($A$73,2,5,14,1))</f>
        <v>2071.3759549000001</v>
      </c>
      <c r="G89" s="1">
        <f ca="1">SUM(OFFSET($A$73,2,6,14,1))</f>
        <v>441.94934910000006</v>
      </c>
      <c r="H89" s="1">
        <f ca="1">SUM(OFFSET($A$73,2,7,14,1))</f>
        <v>292.68362389999999</v>
      </c>
      <c r="I89" s="1">
        <f ca="1">SUM(OFFSET($A$73,2,8,14,1))</f>
        <v>7.2567573000000003</v>
      </c>
      <c r="J89" s="1">
        <f ca="1">SUM(OFFSET($A$73,2,9,14,1))</f>
        <v>583.58505520000006</v>
      </c>
      <c r="K89" s="1">
        <f ca="1">SUM(OFFSET($A$73,2,10,14,1))</f>
        <v>0.56355929999999999</v>
      </c>
      <c r="L89" s="1">
        <f ca="1">SUM(OFFSET($A$73,2,11,14,1))</f>
        <v>5.5534426999999997</v>
      </c>
      <c r="M89" s="1">
        <f ca="1">SUM(OFFSET($A$73,2,12,14,1))</f>
        <v>0.32639240000000003</v>
      </c>
      <c r="N89" s="1">
        <f ca="1">SUM(OFFSET($A$73,2,13,14,1))</f>
        <v>0</v>
      </c>
      <c r="O89" s="1">
        <f ca="1">SUM(OFFSET($A$73,2,14,14,1))</f>
        <v>3.0899999999999999E-5</v>
      </c>
      <c r="P89" s="1">
        <f ca="1">SUM(OFFSET($A$73,16,1,1,14))</f>
        <v>5387.9606781000002</v>
      </c>
      <c r="Q89" s="2">
        <f ca="1">SUM(OFFSET($A$73,16,1,1,12))</f>
        <v>5387.9606472000005</v>
      </c>
    </row>
    <row r="90" spans="1:17" x14ac:dyDescent="0.2">
      <c r="O90" s="11" t="s">
        <v>59</v>
      </c>
      <c r="P90" s="1">
        <f ca="1">SUM(OFFSET($B$75,0,0,12,12))</f>
        <v>5387.7253927000002</v>
      </c>
    </row>
    <row r="91" spans="1:17" x14ac:dyDescent="0.2">
      <c r="A91" s="1" t="s">
        <v>97</v>
      </c>
    </row>
    <row r="92" spans="1:17" x14ac:dyDescent="0.2">
      <c r="B92" s="1">
        <v>1</v>
      </c>
      <c r="C92" s="1">
        <v>2</v>
      </c>
      <c r="D92" s="1">
        <v>3</v>
      </c>
      <c r="E92" s="1">
        <v>4</v>
      </c>
      <c r="F92" s="1">
        <v>5</v>
      </c>
      <c r="G92" s="1">
        <v>6</v>
      </c>
      <c r="H92" s="1">
        <v>7</v>
      </c>
      <c r="I92" s="1">
        <v>8</v>
      </c>
      <c r="J92" s="1">
        <v>9</v>
      </c>
      <c r="K92" s="1">
        <v>10</v>
      </c>
      <c r="L92" s="1">
        <v>11</v>
      </c>
      <c r="M92" s="1">
        <v>12</v>
      </c>
      <c r="N92" s="1">
        <v>13</v>
      </c>
      <c r="O92" s="1">
        <v>14</v>
      </c>
      <c r="P92" s="1" t="s">
        <v>43</v>
      </c>
      <c r="Q92" s="2" t="s">
        <v>61</v>
      </c>
    </row>
    <row r="93" spans="1:17" x14ac:dyDescent="0.2">
      <c r="A93" s="1">
        <v>1</v>
      </c>
      <c r="B93" s="1">
        <v>5543.2049999999999</v>
      </c>
      <c r="C93" s="1">
        <v>168.73740000000001</v>
      </c>
      <c r="D93" s="1">
        <v>1.3050459999999999</v>
      </c>
      <c r="E93" s="1">
        <v>0.1158888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f ca="1">SUM(OFFSET($A$91,2,1,1,14))</f>
        <v>5713.3633348000003</v>
      </c>
      <c r="Q93" s="2">
        <f ca="1">SUM(OFFSET($A$91,2,1,1,12))</f>
        <v>5713.3633348000003</v>
      </c>
    </row>
    <row r="94" spans="1:17" x14ac:dyDescent="0.2">
      <c r="A94" s="1">
        <v>2</v>
      </c>
      <c r="B94" s="1">
        <v>169.7792</v>
      </c>
      <c r="C94" s="1">
        <v>10665.05</v>
      </c>
      <c r="D94" s="1">
        <v>0.39268419999999998</v>
      </c>
      <c r="E94" s="1">
        <v>16.508459999999999</v>
      </c>
      <c r="F94" s="1">
        <v>1.933006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f ca="1">SUM(OFFSET($A$91,3,1,1,14))</f>
        <v>10853.663350199999</v>
      </c>
      <c r="Q94" s="2">
        <f ca="1">SUM(OFFSET($A$91,3,1,1,12))</f>
        <v>10853.663350199999</v>
      </c>
    </row>
    <row r="95" spans="1:17" x14ac:dyDescent="0.2">
      <c r="A95" s="1">
        <v>3</v>
      </c>
      <c r="B95" s="1">
        <v>1.0563130000000001</v>
      </c>
      <c r="C95" s="1">
        <v>0.4452854</v>
      </c>
      <c r="D95" s="1">
        <v>1223.2239999999999</v>
      </c>
      <c r="E95" s="1">
        <v>451.46089999999998</v>
      </c>
      <c r="F95" s="1">
        <v>6.29604E-2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f ca="1">SUM(OFFSET($A$91,4,1,1,14))</f>
        <v>1676.2494588</v>
      </c>
      <c r="Q95" s="2">
        <f ca="1">SUM(OFFSET($A$91,4,1,1,12))</f>
        <v>1676.2494588</v>
      </c>
    </row>
    <row r="96" spans="1:17" x14ac:dyDescent="0.2">
      <c r="A96" s="1">
        <v>4</v>
      </c>
      <c r="B96" s="1">
        <v>6.6046499999999994E-2</v>
      </c>
      <c r="C96" s="1">
        <v>17.600770000000001</v>
      </c>
      <c r="D96" s="1">
        <v>478.31279999999998</v>
      </c>
      <c r="E96" s="1">
        <v>37696.199999999997</v>
      </c>
      <c r="F96" s="1">
        <v>781.0788</v>
      </c>
      <c r="G96" s="1">
        <v>0</v>
      </c>
      <c r="H96" s="1">
        <v>96.909520000000001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f ca="1">SUM(OFFSET($A$91,5,1,1,14))</f>
        <v>39070.167936500002</v>
      </c>
      <c r="Q96" s="2">
        <f ca="1">SUM(OFFSET($A$91,5,1,1,12))</f>
        <v>39070.167936500002</v>
      </c>
    </row>
    <row r="97" spans="1:17" x14ac:dyDescent="0.2">
      <c r="A97" s="1">
        <v>5</v>
      </c>
      <c r="B97" s="1">
        <v>0</v>
      </c>
      <c r="C97" s="1">
        <v>2.2815460000000001</v>
      </c>
      <c r="D97" s="1">
        <v>6.2544500000000003E-2</v>
      </c>
      <c r="E97" s="1">
        <v>701.21169999999995</v>
      </c>
      <c r="F97" s="1">
        <v>19301.77</v>
      </c>
      <c r="G97" s="1">
        <v>332.70679999999999</v>
      </c>
      <c r="H97" s="1">
        <v>149.36109999999999</v>
      </c>
      <c r="I97" s="1">
        <v>0.40208559999999999</v>
      </c>
      <c r="J97" s="1">
        <v>18.214659999999999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f ca="1">SUM(OFFSET($A$91,6,1,1,14))</f>
        <v>20506.010436099998</v>
      </c>
      <c r="Q97" s="2">
        <f ca="1">SUM(OFFSET($A$91,6,1,1,12))</f>
        <v>20506.010436099998</v>
      </c>
    </row>
    <row r="98" spans="1:17" x14ac:dyDescent="0.2">
      <c r="A98" s="1">
        <v>6</v>
      </c>
      <c r="B98" s="1">
        <v>0</v>
      </c>
      <c r="C98" s="1">
        <v>0</v>
      </c>
      <c r="D98" s="1">
        <v>0</v>
      </c>
      <c r="E98" s="1">
        <v>0</v>
      </c>
      <c r="F98" s="1">
        <v>348.40589999999997</v>
      </c>
      <c r="G98" s="1">
        <v>18463.16</v>
      </c>
      <c r="H98" s="1">
        <v>0</v>
      </c>
      <c r="I98" s="1">
        <v>0</v>
      </c>
      <c r="J98" s="1">
        <v>0.45996500000000001</v>
      </c>
      <c r="K98" s="1">
        <v>0</v>
      </c>
      <c r="L98" s="1">
        <v>4.1413080000000004</v>
      </c>
      <c r="M98" s="1">
        <v>0</v>
      </c>
      <c r="N98" s="1">
        <v>0</v>
      </c>
      <c r="O98" s="1">
        <v>0</v>
      </c>
      <c r="P98" s="1">
        <f ca="1">SUM(OFFSET($A$91,7,1,1,14))</f>
        <v>18816.167172999998</v>
      </c>
      <c r="Q98" s="2">
        <f ca="1">SUM(OFFSET($A$91,7,1,1,12))</f>
        <v>18816.167172999998</v>
      </c>
    </row>
    <row r="99" spans="1:17" x14ac:dyDescent="0.2">
      <c r="A99" s="1">
        <v>7</v>
      </c>
      <c r="B99" s="1">
        <v>0</v>
      </c>
      <c r="C99" s="1">
        <v>0</v>
      </c>
      <c r="D99" s="1">
        <v>0</v>
      </c>
      <c r="E99" s="1">
        <v>82.680599999999998</v>
      </c>
      <c r="F99" s="1">
        <v>175.32060000000001</v>
      </c>
      <c r="G99" s="1">
        <v>0</v>
      </c>
      <c r="H99" s="1">
        <v>15082.48</v>
      </c>
      <c r="I99" s="1">
        <v>1.098406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f ca="1">SUM(OFFSET($A$91,8,1,1,14))</f>
        <v>15341.579605999999</v>
      </c>
      <c r="Q99" s="2">
        <f ca="1">SUM(OFFSET($A$91,8,1,1,12))</f>
        <v>15341.579605999999</v>
      </c>
    </row>
    <row r="100" spans="1:17" x14ac:dyDescent="0.2">
      <c r="A100" s="1">
        <v>8</v>
      </c>
      <c r="B100" s="1">
        <v>0</v>
      </c>
      <c r="C100" s="1">
        <v>0</v>
      </c>
      <c r="D100" s="1">
        <v>0</v>
      </c>
      <c r="E100" s="1">
        <v>0</v>
      </c>
      <c r="F100" s="1">
        <v>0.38627929999999999</v>
      </c>
      <c r="G100" s="1">
        <v>0</v>
      </c>
      <c r="H100" s="1">
        <v>0.25734859999999998</v>
      </c>
      <c r="I100" s="1">
        <v>4801.13</v>
      </c>
      <c r="J100" s="1">
        <v>14.957750000000001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f ca="1">SUM(OFFSET($A$91,9,1,1,14))</f>
        <v>4816.7313778999996</v>
      </c>
      <c r="Q100" s="2">
        <f ca="1">SUM(OFFSET($A$91,9,1,1,12))</f>
        <v>4816.7313778999996</v>
      </c>
    </row>
    <row r="101" spans="1:17" x14ac:dyDescent="0.2">
      <c r="A101" s="1">
        <v>9</v>
      </c>
      <c r="B101" s="1">
        <v>0</v>
      </c>
      <c r="C101" s="1">
        <v>0</v>
      </c>
      <c r="D101" s="1">
        <v>0</v>
      </c>
      <c r="E101" s="1">
        <v>0</v>
      </c>
      <c r="F101" s="1">
        <v>16.66112</v>
      </c>
      <c r="G101" s="1">
        <v>0.75498030000000005</v>
      </c>
      <c r="H101" s="1">
        <v>0.87978880000000004</v>
      </c>
      <c r="I101" s="1">
        <v>17.73902</v>
      </c>
      <c r="J101" s="1">
        <v>48528.1</v>
      </c>
      <c r="K101" s="1">
        <v>64.227040000000002</v>
      </c>
      <c r="L101" s="1">
        <v>7.7820000000000005E-4</v>
      </c>
      <c r="M101" s="1">
        <v>273.44200000000001</v>
      </c>
      <c r="N101" s="1">
        <v>0</v>
      </c>
      <c r="O101" s="1">
        <v>0</v>
      </c>
      <c r="P101" s="1">
        <f ca="1">SUM(OFFSET($A$91,10,1,1,14))</f>
        <v>48901.804727300005</v>
      </c>
      <c r="Q101" s="2">
        <f ca="1">SUM(OFFSET($A$91,10,1,1,12))</f>
        <v>48901.804727300005</v>
      </c>
    </row>
    <row r="102" spans="1:17" x14ac:dyDescent="0.2">
      <c r="A102" s="1">
        <v>10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60.637569999999997</v>
      </c>
      <c r="K102" s="1">
        <v>7069.741</v>
      </c>
      <c r="L102" s="1">
        <v>0</v>
      </c>
      <c r="M102" s="1">
        <v>4.8333620000000002</v>
      </c>
      <c r="N102" s="1">
        <v>0</v>
      </c>
      <c r="O102" s="1">
        <v>0</v>
      </c>
      <c r="P102" s="1">
        <f ca="1">SUM(OFFSET($A$91,11,1,1,14))</f>
        <v>7135.2119320000002</v>
      </c>
      <c r="Q102" s="2">
        <f ca="1">SUM(OFFSET($A$91,11,1,1,12))</f>
        <v>7135.2119320000002</v>
      </c>
    </row>
    <row r="103" spans="1:17" x14ac:dyDescent="0.2">
      <c r="A103" s="1">
        <v>11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3.9907089999999998</v>
      </c>
      <c r="H103" s="1">
        <v>0</v>
      </c>
      <c r="I103" s="1">
        <v>0</v>
      </c>
      <c r="J103" s="1">
        <v>7.6889999999999999E-4</v>
      </c>
      <c r="K103" s="1">
        <v>0</v>
      </c>
      <c r="L103" s="1">
        <v>8374.1049999999996</v>
      </c>
      <c r="M103" s="1">
        <v>2.6166499999999999E-2</v>
      </c>
      <c r="N103" s="1">
        <v>1.8350489999999999</v>
      </c>
      <c r="O103" s="1">
        <v>0</v>
      </c>
      <c r="P103" s="1">
        <f ca="1">SUM(OFFSET($A$91,12,1,1,14))</f>
        <v>8379.9576933999979</v>
      </c>
      <c r="Q103" s="2">
        <f ca="1">SUM(OFFSET($A$91,12,1,1,12))</f>
        <v>8378.1226443999985</v>
      </c>
    </row>
    <row r="104" spans="1:17" x14ac:dyDescent="0.2">
      <c r="A104" s="1">
        <v>12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257.60969999999998</v>
      </c>
      <c r="K104" s="1">
        <v>4.9497179999999998</v>
      </c>
      <c r="L104" s="1">
        <v>3.2543099999999998E-2</v>
      </c>
      <c r="M104" s="1">
        <v>10209.040000000001</v>
      </c>
      <c r="N104" s="1">
        <v>0</v>
      </c>
      <c r="O104" s="1">
        <v>7.6673200000000001</v>
      </c>
      <c r="P104" s="1">
        <f ca="1">SUM(OFFSET($A$91,13,1,1,14))</f>
        <v>10479.299281100002</v>
      </c>
      <c r="Q104" s="2">
        <f ca="1">SUM(OFFSET($A$91,13,1,1,12))</f>
        <v>10471.631961100002</v>
      </c>
    </row>
    <row r="105" spans="1:17" x14ac:dyDescent="0.2">
      <c r="A105" s="1">
        <v>13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1.8324739999999999</v>
      </c>
      <c r="M105" s="1">
        <v>0</v>
      </c>
      <c r="N105" s="1">
        <v>3325.4549999999999</v>
      </c>
      <c r="O105" s="1">
        <v>3.2520859999999998</v>
      </c>
      <c r="P105" s="1">
        <f ca="1">SUM(OFFSET($A$91,14,1,1,14))</f>
        <v>3330.5395599999997</v>
      </c>
      <c r="Q105" s="2">
        <f ca="1">SUM(OFFSET($A$91,14,1,1,12))</f>
        <v>1.8324739999999999</v>
      </c>
    </row>
    <row r="106" spans="1:17" x14ac:dyDescent="0.2">
      <c r="A106" s="1">
        <v>14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7.2824140000000002</v>
      </c>
      <c r="N106" s="1">
        <v>3.4372029999999998</v>
      </c>
      <c r="O106" s="1">
        <v>15181.39</v>
      </c>
      <c r="P106" s="1">
        <f ca="1">SUM(OFFSET($A$91,15,1,1,14))</f>
        <v>15192.109617</v>
      </c>
      <c r="Q106" s="2">
        <f ca="1">SUM(OFFSET($A$91,15,1,1,12))</f>
        <v>7.2824140000000002</v>
      </c>
    </row>
    <row r="107" spans="1:17" x14ac:dyDescent="0.2">
      <c r="A107" s="1" t="s">
        <v>43</v>
      </c>
      <c r="B107" s="1">
        <f ca="1">SUM(OFFSET($A$91,2,1,14,1))</f>
        <v>5714.1065595</v>
      </c>
      <c r="C107" s="1">
        <f ca="1">SUM(OFFSET($A$91,2,2,14,1))</f>
        <v>10854.115001399998</v>
      </c>
      <c r="D107" s="1">
        <f ca="1">SUM(OFFSET($A$91,2,3,14,1))</f>
        <v>1703.2970746999999</v>
      </c>
      <c r="E107" s="1">
        <f ca="1">SUM(OFFSET($A$91,2,4,14,1))</f>
        <v>38948.177548799998</v>
      </c>
      <c r="F107" s="1">
        <f ca="1">SUM(OFFSET($A$91,2,5,14,1))</f>
        <v>20625.618665700003</v>
      </c>
      <c r="G107" s="1">
        <f ca="1">SUM(OFFSET($A$91,2,6,14,1))</f>
        <v>18800.612489300001</v>
      </c>
      <c r="H107" s="1">
        <f ca="1">SUM(OFFSET($A$91,2,7,14,1))</f>
        <v>15329.8877574</v>
      </c>
      <c r="I107" s="1">
        <f ca="1">SUM(OFFSET($A$91,2,8,14,1))</f>
        <v>4820.3695115999999</v>
      </c>
      <c r="J107" s="1">
        <f ca="1">SUM(OFFSET($A$91,2,9,14,1))</f>
        <v>48879.980413899997</v>
      </c>
      <c r="K107" s="1">
        <f ca="1">SUM(OFFSET($A$91,2,10,14,1))</f>
        <v>7138.9177579999996</v>
      </c>
      <c r="L107" s="1">
        <f ca="1">SUM(OFFSET($A$91,2,11,14,1))</f>
        <v>8380.1121032999999</v>
      </c>
      <c r="M107" s="1">
        <f ca="1">SUM(OFFSET($A$91,2,12,14,1))</f>
        <v>10494.6239425</v>
      </c>
      <c r="N107" s="1">
        <f ca="1">SUM(OFFSET($A$91,2,13,14,1))</f>
        <v>3330.7272519999997</v>
      </c>
      <c r="O107" s="1">
        <f ca="1">SUM(OFFSET($A$91,2,14,14,1))</f>
        <v>15192.309406</v>
      </c>
      <c r="P107" s="1">
        <f ca="1">SUM(OFFSET($A$91,16,1,1,14))</f>
        <v>210212.8554841</v>
      </c>
      <c r="Q107" s="2">
        <f ca="1">SUM(OFFSET($A$91,16,1,1,12))</f>
        <v>191689.81882609997</v>
      </c>
    </row>
    <row r="108" spans="1:17" x14ac:dyDescent="0.2">
      <c r="O108" s="11" t="s">
        <v>59</v>
      </c>
      <c r="P108" s="1">
        <f ca="1">SUM(OFFSET($B$93,0,0,12,12))</f>
        <v>191680.70393810005</v>
      </c>
    </row>
    <row r="109" spans="1:17" x14ac:dyDescent="0.2">
      <c r="A109" s="1" t="s">
        <v>99</v>
      </c>
    </row>
    <row r="110" spans="1:17" x14ac:dyDescent="0.2">
      <c r="B110" s="1">
        <v>1</v>
      </c>
      <c r="C110" s="1">
        <v>2</v>
      </c>
      <c r="D110" s="1">
        <v>3</v>
      </c>
      <c r="E110" s="1">
        <v>4</v>
      </c>
      <c r="F110" s="1">
        <v>5</v>
      </c>
      <c r="G110" s="1">
        <v>6</v>
      </c>
      <c r="H110" s="1">
        <v>7</v>
      </c>
      <c r="I110" s="1">
        <v>8</v>
      </c>
      <c r="J110" s="1">
        <v>9</v>
      </c>
      <c r="K110" s="1">
        <v>10</v>
      </c>
      <c r="L110" s="1">
        <v>11</v>
      </c>
      <c r="M110" s="1">
        <v>12</v>
      </c>
      <c r="N110" s="1">
        <v>13</v>
      </c>
      <c r="O110" s="1">
        <v>14</v>
      </c>
      <c r="P110" s="1" t="s">
        <v>43</v>
      </c>
      <c r="Q110" s="2" t="s">
        <v>61</v>
      </c>
    </row>
    <row r="111" spans="1:17" x14ac:dyDescent="0.2">
      <c r="A111" s="1">
        <v>1</v>
      </c>
      <c r="B111" s="1">
        <v>408.99560000000002</v>
      </c>
      <c r="C111" s="1">
        <v>32.316749999999999</v>
      </c>
      <c r="D111" s="1">
        <v>0.64401909999999996</v>
      </c>
      <c r="E111" s="1">
        <v>0.49009269999999999</v>
      </c>
      <c r="F111" s="1">
        <v>5.1346999999999999E-3</v>
      </c>
      <c r="G111" s="1">
        <v>0</v>
      </c>
      <c r="H111" s="1">
        <v>9.9999999999999995E-7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f ca="1">SUM(OFFSET($A$109,2,1,1,14))</f>
        <v>442.45159749999999</v>
      </c>
      <c r="Q111" s="2">
        <f ca="1">SUM(OFFSET($A$109,2,1,1,12))</f>
        <v>442.45159749999999</v>
      </c>
    </row>
    <row r="112" spans="1:17" x14ac:dyDescent="0.2">
      <c r="A112" s="1">
        <v>2</v>
      </c>
      <c r="B112" s="1">
        <v>32.865639999999999</v>
      </c>
      <c r="C112" s="1">
        <v>804.14559999999994</v>
      </c>
      <c r="D112" s="1">
        <v>0.3928931</v>
      </c>
      <c r="E112" s="1">
        <v>3.8000850000000002</v>
      </c>
      <c r="F112" s="1">
        <v>1.456137</v>
      </c>
      <c r="G112" s="1">
        <v>1.2999999999999999E-4</v>
      </c>
      <c r="H112" s="1">
        <v>7.4000000000000003E-6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f ca="1">SUM(OFFSET($A$109,3,1,1,14))</f>
        <v>842.66049249999992</v>
      </c>
      <c r="Q112" s="2">
        <f ca="1">SUM(OFFSET($A$109,3,1,1,12))</f>
        <v>842.66049249999992</v>
      </c>
    </row>
    <row r="113" spans="1:17" x14ac:dyDescent="0.2">
      <c r="A113" s="1">
        <v>3</v>
      </c>
      <c r="B113" s="1">
        <v>0.57813250000000005</v>
      </c>
      <c r="C113" s="1">
        <v>0.39952169999999998</v>
      </c>
      <c r="D113" s="1">
        <v>57.503950000000003</v>
      </c>
      <c r="E113" s="1">
        <v>32.945839999999997</v>
      </c>
      <c r="F113" s="1">
        <v>9.2022400000000004E-2</v>
      </c>
      <c r="G113" s="1">
        <v>3.1999999999999999E-6</v>
      </c>
      <c r="H113" s="1">
        <v>6.1009999999999997E-3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f ca="1">SUM(OFFSET($A$109,4,1,1,14))</f>
        <v>91.525570799999997</v>
      </c>
      <c r="Q113" s="2">
        <f ca="1">SUM(OFFSET($A$109,4,1,1,12))</f>
        <v>91.525570799999997</v>
      </c>
    </row>
    <row r="114" spans="1:17" x14ac:dyDescent="0.2">
      <c r="A114" s="1">
        <v>4</v>
      </c>
      <c r="B114" s="1">
        <v>0.42613519999999999</v>
      </c>
      <c r="C114" s="1">
        <v>3.2362329999999999</v>
      </c>
      <c r="D114" s="1">
        <v>26.853439999999999</v>
      </c>
      <c r="E114" s="1">
        <v>4027.837</v>
      </c>
      <c r="F114" s="1">
        <v>48.000889999999998</v>
      </c>
      <c r="G114" s="1">
        <v>2.49914E-2</v>
      </c>
      <c r="H114" s="1">
        <v>13.47959</v>
      </c>
      <c r="I114" s="1">
        <v>9.3755999999999996E-3</v>
      </c>
      <c r="J114" s="1">
        <v>2.9822E-3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f ca="1">SUM(OFFSET($A$109,5,1,1,14))</f>
        <v>4119.8706373999985</v>
      </c>
      <c r="Q114" s="2">
        <f ca="1">SUM(OFFSET($A$109,5,1,1,12))</f>
        <v>4119.8706373999985</v>
      </c>
    </row>
    <row r="115" spans="1:17" x14ac:dyDescent="0.2">
      <c r="A115" s="1">
        <v>5</v>
      </c>
      <c r="B115" s="1">
        <v>4.6641E-3</v>
      </c>
      <c r="C115" s="1">
        <v>1.534961</v>
      </c>
      <c r="D115" s="1">
        <v>9.2991900000000002E-2</v>
      </c>
      <c r="E115" s="1">
        <v>58.078510000000001</v>
      </c>
      <c r="F115" s="1">
        <v>1406.7280000000001</v>
      </c>
      <c r="G115" s="1">
        <v>48.989739999999998</v>
      </c>
      <c r="H115" s="1">
        <v>15.184089999999999</v>
      </c>
      <c r="I115" s="1">
        <v>6.9589100000000001E-2</v>
      </c>
      <c r="J115" s="1">
        <v>4.3746400000000003</v>
      </c>
      <c r="K115" s="1">
        <v>0</v>
      </c>
      <c r="L115" s="1">
        <v>4.07E-5</v>
      </c>
      <c r="M115" s="1">
        <v>0</v>
      </c>
      <c r="N115" s="1">
        <v>0</v>
      </c>
      <c r="O115" s="1">
        <v>0</v>
      </c>
      <c r="P115" s="1">
        <f ca="1">SUM(OFFSET($A$109,6,1,1,14))</f>
        <v>1535.0572268000001</v>
      </c>
      <c r="Q115" s="2">
        <f ca="1">SUM(OFFSET($A$109,6,1,1,12))</f>
        <v>1535.0572268000001</v>
      </c>
    </row>
    <row r="116" spans="1:17" x14ac:dyDescent="0.2">
      <c r="A116" s="1">
        <v>6</v>
      </c>
      <c r="B116" s="1">
        <v>0</v>
      </c>
      <c r="C116" s="1">
        <v>1.3679999999999999E-4</v>
      </c>
      <c r="D116" s="1">
        <v>3.1E-6</v>
      </c>
      <c r="E116" s="1">
        <v>2.6061399999999998E-2</v>
      </c>
      <c r="F116" s="1">
        <v>50.541679999999999</v>
      </c>
      <c r="G116" s="1">
        <v>1447.1020000000001</v>
      </c>
      <c r="H116" s="1">
        <v>3.0289000000000002E-3</v>
      </c>
      <c r="I116" s="1">
        <v>1.4600000000000001E-5</v>
      </c>
      <c r="J116" s="1">
        <v>1.060373</v>
      </c>
      <c r="K116" s="1">
        <v>0</v>
      </c>
      <c r="L116" s="1">
        <v>5.6785050000000004</v>
      </c>
      <c r="M116" s="1">
        <v>9.5299999999999999E-5</v>
      </c>
      <c r="N116" s="1">
        <v>0</v>
      </c>
      <c r="O116" s="1">
        <v>0</v>
      </c>
      <c r="P116" s="1">
        <f ca="1">SUM(OFFSET($A$109,7,1,1,14))</f>
        <v>1504.4118981000001</v>
      </c>
      <c r="Q116" s="2">
        <f ca="1">SUM(OFFSET($A$109,7,1,1,12))</f>
        <v>1504.4118981000001</v>
      </c>
    </row>
    <row r="117" spans="1:17" x14ac:dyDescent="0.2">
      <c r="A117" s="1">
        <v>7</v>
      </c>
      <c r="B117" s="1">
        <v>5.9999999999999997E-7</v>
      </c>
      <c r="C117" s="1">
        <v>5.5999999999999997E-6</v>
      </c>
      <c r="D117" s="1">
        <v>5.7698000000000003E-3</v>
      </c>
      <c r="E117" s="1">
        <v>13.84154</v>
      </c>
      <c r="F117" s="1">
        <v>14.57089</v>
      </c>
      <c r="G117" s="1">
        <v>2.7659E-3</v>
      </c>
      <c r="H117" s="1">
        <v>984.36329999999998</v>
      </c>
      <c r="I117" s="1">
        <v>1.083828</v>
      </c>
      <c r="J117" s="1">
        <v>0.59943089999999999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f ca="1">SUM(OFFSET($A$109,8,1,1,14))</f>
        <v>1014.4675308000001</v>
      </c>
      <c r="Q117" s="2">
        <f ca="1">SUM(OFFSET($A$109,8,1,1,12))</f>
        <v>1014.4675308000001</v>
      </c>
    </row>
    <row r="118" spans="1:17" x14ac:dyDescent="0.2">
      <c r="A118" s="1">
        <v>8</v>
      </c>
      <c r="B118" s="1">
        <v>0</v>
      </c>
      <c r="C118" s="1">
        <v>0</v>
      </c>
      <c r="D118" s="1">
        <v>0</v>
      </c>
      <c r="E118" s="1">
        <v>4.8934E-3</v>
      </c>
      <c r="F118" s="1">
        <v>6.6674700000000003E-2</v>
      </c>
      <c r="G118" s="1">
        <v>1.38E-5</v>
      </c>
      <c r="H118" s="1">
        <v>0.74334529999999999</v>
      </c>
      <c r="I118" s="1">
        <v>361.3116</v>
      </c>
      <c r="J118" s="1">
        <v>2.477112</v>
      </c>
      <c r="K118" s="1">
        <v>4.4910000000000002E-3</v>
      </c>
      <c r="L118" s="1">
        <v>0</v>
      </c>
      <c r="M118" s="1">
        <v>0</v>
      </c>
      <c r="N118" s="1">
        <v>0</v>
      </c>
      <c r="O118" s="1">
        <v>0</v>
      </c>
      <c r="P118" s="1">
        <f ca="1">SUM(OFFSET($A$109,9,1,1,14))</f>
        <v>364.60813019999995</v>
      </c>
      <c r="Q118" s="2">
        <f ca="1">SUM(OFFSET($A$109,9,1,1,12))</f>
        <v>364.60813019999995</v>
      </c>
    </row>
    <row r="119" spans="1:17" x14ac:dyDescent="0.2">
      <c r="A119" s="1">
        <v>9</v>
      </c>
      <c r="B119" s="1">
        <v>0</v>
      </c>
      <c r="C119" s="1">
        <v>0</v>
      </c>
      <c r="D119" s="1">
        <v>0</v>
      </c>
      <c r="E119" s="1">
        <v>2.8084999999999998E-3</v>
      </c>
      <c r="F119" s="1">
        <v>3.991606</v>
      </c>
      <c r="G119" s="1">
        <v>1.0618799999999999</v>
      </c>
      <c r="H119" s="1">
        <v>0.65869049999999996</v>
      </c>
      <c r="I119" s="1">
        <v>2.4593210000000001</v>
      </c>
      <c r="J119" s="1">
        <v>1978.68</v>
      </c>
      <c r="K119" s="1">
        <v>13.777889999999999</v>
      </c>
      <c r="L119" s="1">
        <v>7.2440000000000004E-4</v>
      </c>
      <c r="M119" s="1">
        <v>12.725149999999999</v>
      </c>
      <c r="N119" s="1">
        <v>0</v>
      </c>
      <c r="O119" s="1">
        <v>0</v>
      </c>
      <c r="P119" s="1">
        <f ca="1">SUM(OFFSET($A$109,10,1,1,14))</f>
        <v>2013.3580704000001</v>
      </c>
      <c r="Q119" s="2">
        <f ca="1">SUM(OFFSET($A$109,10,1,1,12))</f>
        <v>2013.3580704000001</v>
      </c>
    </row>
    <row r="120" spans="1:17" x14ac:dyDescent="0.2">
      <c r="A120" s="1">
        <v>10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4.7276999999999996E-3</v>
      </c>
      <c r="J120" s="1">
        <v>15.11223</v>
      </c>
      <c r="K120" s="1">
        <v>563.40419999999995</v>
      </c>
      <c r="L120" s="1">
        <v>0</v>
      </c>
      <c r="M120" s="1">
        <v>1.251795</v>
      </c>
      <c r="N120" s="1">
        <v>0</v>
      </c>
      <c r="O120" s="1">
        <v>0</v>
      </c>
      <c r="P120" s="1">
        <f ca="1">SUM(OFFSET($A$109,11,1,1,14))</f>
        <v>579.77295270000002</v>
      </c>
      <c r="Q120" s="2">
        <f ca="1">SUM(OFFSET($A$109,11,1,1,12))</f>
        <v>579.77295270000002</v>
      </c>
    </row>
    <row r="121" spans="1:17" x14ac:dyDescent="0.2">
      <c r="A121" s="1">
        <v>11</v>
      </c>
      <c r="B121" s="1">
        <v>0</v>
      </c>
      <c r="C121" s="1">
        <v>0</v>
      </c>
      <c r="D121" s="1">
        <v>0</v>
      </c>
      <c r="E121" s="1">
        <v>0</v>
      </c>
      <c r="F121" s="1">
        <v>3.7200000000000003E-5</v>
      </c>
      <c r="G121" s="1">
        <v>5.287903</v>
      </c>
      <c r="H121" s="1">
        <v>0</v>
      </c>
      <c r="I121" s="1">
        <v>0</v>
      </c>
      <c r="J121" s="1">
        <v>7.6139999999999997E-4</v>
      </c>
      <c r="K121" s="1">
        <v>0</v>
      </c>
      <c r="L121" s="1">
        <v>540.89449999999999</v>
      </c>
      <c r="M121" s="1">
        <v>9.4251000000000005E-3</v>
      </c>
      <c r="N121" s="1">
        <v>0.71304679999999998</v>
      </c>
      <c r="O121" s="1">
        <v>1.6399999999999999E-5</v>
      </c>
      <c r="P121" s="1">
        <f ca="1">SUM(OFFSET($A$109,12,1,1,14))</f>
        <v>546.90568990000008</v>
      </c>
      <c r="Q121" s="2">
        <f ca="1">SUM(OFFSET($A$109,12,1,1,12))</f>
        <v>546.19262670000001</v>
      </c>
    </row>
    <row r="122" spans="1:17" x14ac:dyDescent="0.2">
      <c r="A122" s="1">
        <v>12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1.4090000000000001E-4</v>
      </c>
      <c r="H122" s="1">
        <v>0</v>
      </c>
      <c r="I122" s="1">
        <v>0</v>
      </c>
      <c r="J122" s="1">
        <v>14.27309</v>
      </c>
      <c r="K122" s="1">
        <v>1.2786519999999999</v>
      </c>
      <c r="L122" s="1">
        <v>1.0029700000000001E-2</v>
      </c>
      <c r="M122" s="1">
        <v>515.39620000000002</v>
      </c>
      <c r="N122" s="1">
        <v>4.9999999999999998E-7</v>
      </c>
      <c r="O122" s="1">
        <v>3.5403579999999999</v>
      </c>
      <c r="P122" s="1">
        <f ca="1">SUM(OFFSET($A$109,13,1,1,14))</f>
        <v>534.49847110000007</v>
      </c>
      <c r="Q122" s="2">
        <f ca="1">SUM(OFFSET($A$109,13,1,1,12))</f>
        <v>530.95811260000005</v>
      </c>
    </row>
    <row r="123" spans="1:17" x14ac:dyDescent="0.2">
      <c r="A123" s="1">
        <v>13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0.70906150000000001</v>
      </c>
      <c r="M123" s="1">
        <v>5.9999999999999997E-7</v>
      </c>
      <c r="N123" s="1">
        <v>214.8937</v>
      </c>
      <c r="O123" s="1">
        <v>1.7885599999999999</v>
      </c>
      <c r="P123" s="1">
        <f ca="1">SUM(OFFSET($A$109,14,1,1,14))</f>
        <v>217.3913221</v>
      </c>
      <c r="Q123" s="2">
        <f ca="1">SUM(OFFSET($A$109,14,1,1,12))</f>
        <v>0.70906210000000003</v>
      </c>
    </row>
    <row r="124" spans="1:17" x14ac:dyDescent="0.2">
      <c r="A124" s="1">
        <v>14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1.8700000000000001E-5</v>
      </c>
      <c r="M124" s="1">
        <v>3.4047800000000001</v>
      </c>
      <c r="N124" s="1">
        <v>1.675711</v>
      </c>
      <c r="O124" s="1">
        <v>1071.7919999999999</v>
      </c>
      <c r="P124" s="1">
        <f ca="1">SUM(OFFSET($A$109,15,1,1,14))</f>
        <v>1076.8725096999999</v>
      </c>
      <c r="Q124" s="2">
        <f ca="1">SUM(OFFSET($A$109,15,1,1,12))</f>
        <v>3.4047987000000002</v>
      </c>
    </row>
    <row r="125" spans="1:17" x14ac:dyDescent="0.2">
      <c r="A125" s="1" t="s">
        <v>43</v>
      </c>
      <c r="B125" s="1">
        <f ca="1">SUM(OFFSET($A$109,2,1,14,1))</f>
        <v>442.8701724</v>
      </c>
      <c r="C125" s="1">
        <f ca="1">SUM(OFFSET($A$109,2,2,14,1))</f>
        <v>841.63320809999982</v>
      </c>
      <c r="D125" s="1">
        <f ca="1">SUM(OFFSET($A$109,2,3,14,1))</f>
        <v>85.493066999999996</v>
      </c>
      <c r="E125" s="1">
        <f ca="1">SUM(OFFSET($A$109,2,4,14,1))</f>
        <v>4137.0268310000001</v>
      </c>
      <c r="F125" s="1">
        <f ca="1">SUM(OFFSET($A$109,2,5,14,1))</f>
        <v>1525.453072</v>
      </c>
      <c r="G125" s="1">
        <f ca="1">SUM(OFFSET($A$109,2,6,14,1))</f>
        <v>1502.4695681999999</v>
      </c>
      <c r="H125" s="1">
        <f ca="1">SUM(OFFSET($A$109,2,7,14,1))</f>
        <v>1014.4381541</v>
      </c>
      <c r="I125" s="1">
        <f ca="1">SUM(OFFSET($A$109,2,8,14,1))</f>
        <v>364.93845599999997</v>
      </c>
      <c r="J125" s="1">
        <f ca="1">SUM(OFFSET($A$109,2,9,14,1))</f>
        <v>2016.5806195</v>
      </c>
      <c r="K125" s="1">
        <f ca="1">SUM(OFFSET($A$109,2,10,14,1))</f>
        <v>578.4652329999999</v>
      </c>
      <c r="L125" s="1">
        <f ca="1">SUM(OFFSET($A$109,2,11,14,1))</f>
        <v>547.29288000000008</v>
      </c>
      <c r="M125" s="1">
        <f ca="1">SUM(OFFSET($A$109,2,12,14,1))</f>
        <v>532.78744600000005</v>
      </c>
      <c r="N125" s="1">
        <f ca="1">SUM(OFFSET($A$109,2,13,14,1))</f>
        <v>217.2824583</v>
      </c>
      <c r="O125" s="1">
        <f ca="1">SUM(OFFSET($A$109,2,14,14,1))</f>
        <v>1077.1209343999999</v>
      </c>
      <c r="P125" s="1">
        <f ca="1">SUM(OFFSET($A$109,16,1,1,14))</f>
        <v>14883.8521</v>
      </c>
      <c r="Q125" s="2">
        <f ca="1">SUM(OFFSET($A$109,16,1,1,12))</f>
        <v>13589.4487073</v>
      </c>
    </row>
    <row r="126" spans="1:17" x14ac:dyDescent="0.2">
      <c r="O126" s="11" t="s">
        <v>59</v>
      </c>
      <c r="P126" s="1">
        <f ca="1">SUM(OFFSET($B$111,0,0,12,12))</f>
        <v>13585.3348465</v>
      </c>
    </row>
    <row r="127" spans="1:17" x14ac:dyDescent="0.2">
      <c r="A127" s="1" t="s">
        <v>101</v>
      </c>
    </row>
    <row r="128" spans="1:17" x14ac:dyDescent="0.2">
      <c r="B128" s="1">
        <v>1</v>
      </c>
      <c r="C128" s="1">
        <v>2</v>
      </c>
      <c r="D128" s="1">
        <v>3</v>
      </c>
      <c r="E128" s="1">
        <v>4</v>
      </c>
      <c r="F128" s="1">
        <v>5</v>
      </c>
      <c r="G128" s="1">
        <v>6</v>
      </c>
      <c r="H128" s="1">
        <v>7</v>
      </c>
      <c r="I128" s="1">
        <v>8</v>
      </c>
      <c r="J128" s="1">
        <v>9</v>
      </c>
      <c r="K128" s="1">
        <v>10</v>
      </c>
      <c r="L128" s="1">
        <v>11</v>
      </c>
      <c r="M128" s="1">
        <v>12</v>
      </c>
      <c r="N128" s="1">
        <v>13</v>
      </c>
      <c r="O128" s="1">
        <v>14</v>
      </c>
      <c r="P128" s="1" t="s">
        <v>43</v>
      </c>
      <c r="Q128" s="2" t="s">
        <v>61</v>
      </c>
    </row>
    <row r="129" spans="1:17" x14ac:dyDescent="0.2">
      <c r="A129" s="1">
        <v>1</v>
      </c>
      <c r="B129" s="1">
        <v>670.54259999999999</v>
      </c>
      <c r="C129" s="1">
        <v>245.6763</v>
      </c>
      <c r="D129" s="1">
        <v>7.1330600000000004</v>
      </c>
      <c r="E129" s="1">
        <v>13.95589</v>
      </c>
      <c r="F129" s="1">
        <v>1.0727869999999999</v>
      </c>
      <c r="G129" s="1">
        <v>1.5398E-3</v>
      </c>
      <c r="H129" s="1">
        <v>2.09196E-2</v>
      </c>
      <c r="I129" s="1">
        <v>8.6000000000000007E-6</v>
      </c>
      <c r="J129" s="1">
        <v>2.19E-5</v>
      </c>
      <c r="K129" s="1">
        <v>0</v>
      </c>
      <c r="L129" s="1">
        <v>2.9999999999999999E-7</v>
      </c>
      <c r="M129" s="1">
        <v>9.9999999999999995E-8</v>
      </c>
      <c r="N129" s="1">
        <v>0</v>
      </c>
      <c r="O129" s="1">
        <v>0</v>
      </c>
      <c r="P129" s="1">
        <f ca="1">SUM(OFFSET($A$127,2,1,1,14))</f>
        <v>938.40312729999982</v>
      </c>
      <c r="Q129" s="2">
        <f ca="1">SUM(OFFSET($A$127,2,1,1,12))</f>
        <v>938.40312729999982</v>
      </c>
    </row>
    <row r="130" spans="1:17" x14ac:dyDescent="0.2">
      <c r="A130" s="1">
        <v>2</v>
      </c>
      <c r="B130" s="1">
        <v>175.87700000000001</v>
      </c>
      <c r="C130" s="1">
        <v>932.86929999999995</v>
      </c>
      <c r="D130" s="1">
        <v>5.5346929999999999</v>
      </c>
      <c r="E130" s="1">
        <v>40.285220000000002</v>
      </c>
      <c r="F130" s="1">
        <v>24.059550000000002</v>
      </c>
      <c r="G130" s="1">
        <v>0.12829660000000001</v>
      </c>
      <c r="H130" s="1">
        <v>2.3634200000000001E-2</v>
      </c>
      <c r="I130" s="1">
        <v>8.3399999999999994E-5</v>
      </c>
      <c r="J130" s="1">
        <v>1.2771E-3</v>
      </c>
      <c r="K130" s="1">
        <v>5.9999999999999997E-7</v>
      </c>
      <c r="L130" s="1">
        <v>1.8899999999999999E-5</v>
      </c>
      <c r="M130" s="1">
        <v>5.6999999999999996E-6</v>
      </c>
      <c r="N130" s="1">
        <v>0</v>
      </c>
      <c r="O130" s="1">
        <v>0</v>
      </c>
      <c r="P130" s="1">
        <f ca="1">SUM(OFFSET($A$127,3,1,1,14))</f>
        <v>1178.7790795000001</v>
      </c>
      <c r="Q130" s="2">
        <f ca="1">SUM(OFFSET($A$127,3,1,1,12))</f>
        <v>1178.7790795000001</v>
      </c>
    </row>
    <row r="131" spans="1:17" x14ac:dyDescent="0.2">
      <c r="A131" s="1">
        <v>3</v>
      </c>
      <c r="B131" s="1">
        <v>11.676880000000001</v>
      </c>
      <c r="C131" s="1">
        <v>10.97592</v>
      </c>
      <c r="D131" s="1">
        <v>130.03440000000001</v>
      </c>
      <c r="E131" s="1">
        <v>309.6327</v>
      </c>
      <c r="F131" s="1">
        <v>3.0758139999999998</v>
      </c>
      <c r="G131" s="1">
        <v>8.711E-3</v>
      </c>
      <c r="H131" s="1">
        <v>0.81841410000000003</v>
      </c>
      <c r="I131" s="1">
        <v>2.7881999999999998E-3</v>
      </c>
      <c r="J131" s="1">
        <v>1.1592E-3</v>
      </c>
      <c r="K131" s="1">
        <v>2.3E-6</v>
      </c>
      <c r="L131" s="1">
        <v>2.3E-6</v>
      </c>
      <c r="M131" s="1">
        <v>6.9999999999999997E-7</v>
      </c>
      <c r="N131" s="1">
        <v>0</v>
      </c>
      <c r="O131" s="1">
        <v>0</v>
      </c>
      <c r="P131" s="1">
        <f ca="1">SUM(OFFSET($A$127,4,1,1,14))</f>
        <v>466.2267918</v>
      </c>
      <c r="Q131" s="2">
        <f ca="1">SUM(OFFSET($A$127,4,1,1,12))</f>
        <v>466.2267918</v>
      </c>
    </row>
    <row r="132" spans="1:17" x14ac:dyDescent="0.2">
      <c r="A132" s="1">
        <v>4</v>
      </c>
      <c r="B132" s="1">
        <v>23.989350000000002</v>
      </c>
      <c r="C132" s="1">
        <v>76.124989999999997</v>
      </c>
      <c r="D132" s="1">
        <v>301.1078</v>
      </c>
      <c r="E132" s="1">
        <v>4471.9210000000003</v>
      </c>
      <c r="F132" s="1">
        <v>567.60500000000002</v>
      </c>
      <c r="G132" s="1">
        <v>3.9049749999999999</v>
      </c>
      <c r="H132" s="1">
        <v>259.3064</v>
      </c>
      <c r="I132" s="1">
        <v>7.46821</v>
      </c>
      <c r="J132" s="1">
        <v>1.944715</v>
      </c>
      <c r="K132" s="1">
        <v>1.05979E-2</v>
      </c>
      <c r="L132" s="1">
        <v>1.472E-3</v>
      </c>
      <c r="M132" s="1">
        <v>2.7750000000000002E-4</v>
      </c>
      <c r="N132" s="1">
        <v>9.9999999999999995E-8</v>
      </c>
      <c r="O132" s="1">
        <v>2.9999999999999999E-7</v>
      </c>
      <c r="P132" s="1">
        <f ca="1">SUM(OFFSET($A$127,5,1,1,14))</f>
        <v>5713.3847877999997</v>
      </c>
      <c r="Q132" s="2">
        <f ca="1">SUM(OFFSET($A$127,5,1,1,12))</f>
        <v>5713.3847874000003</v>
      </c>
    </row>
    <row r="133" spans="1:17" x14ac:dyDescent="0.2">
      <c r="A133" s="1">
        <v>5</v>
      </c>
      <c r="B133" s="1">
        <v>0.65255580000000002</v>
      </c>
      <c r="C133" s="1">
        <v>16.775079999999999</v>
      </c>
      <c r="D133" s="1">
        <v>1.2431300000000001</v>
      </c>
      <c r="E133" s="1">
        <v>207.83529999999999</v>
      </c>
      <c r="F133" s="1">
        <v>1452.981</v>
      </c>
      <c r="G133" s="1">
        <v>200.61410000000001</v>
      </c>
      <c r="H133" s="1">
        <v>63.698749999999997</v>
      </c>
      <c r="I133" s="1">
        <v>0.67775319999999994</v>
      </c>
      <c r="J133" s="1">
        <v>36.735779999999998</v>
      </c>
      <c r="K133" s="1">
        <v>3.1001399999999998E-2</v>
      </c>
      <c r="L133" s="1">
        <v>8.8099499999999997E-2</v>
      </c>
      <c r="M133" s="1">
        <v>3.2831899999999997E-2</v>
      </c>
      <c r="N133" s="1">
        <v>1.43E-5</v>
      </c>
      <c r="O133" s="1">
        <v>1.4600000000000001E-5</v>
      </c>
      <c r="P133" s="1">
        <f ca="1">SUM(OFFSET($A$127,6,1,1,14))</f>
        <v>1981.3654107</v>
      </c>
      <c r="Q133" s="2">
        <f ca="1">SUM(OFFSET($A$127,6,1,1,12))</f>
        <v>1981.3653818</v>
      </c>
    </row>
    <row r="134" spans="1:17" x14ac:dyDescent="0.2">
      <c r="A134" s="1">
        <v>6</v>
      </c>
      <c r="B134" s="1">
        <v>1.1234999999999999E-3</v>
      </c>
      <c r="C134" s="1">
        <v>0.10428320000000001</v>
      </c>
      <c r="D134" s="1">
        <v>4.2348000000000004E-3</v>
      </c>
      <c r="E134" s="1">
        <v>1.6742269999999999</v>
      </c>
      <c r="F134" s="1">
        <v>231.0393</v>
      </c>
      <c r="G134" s="1">
        <v>1925.7940000000001</v>
      </c>
      <c r="H134" s="1">
        <v>0.1667303</v>
      </c>
      <c r="I134" s="1">
        <v>2.6867000000000002E-3</v>
      </c>
      <c r="J134" s="1">
        <v>25.412880000000001</v>
      </c>
      <c r="K134" s="1">
        <v>6.1238000000000004E-3</v>
      </c>
      <c r="L134" s="1">
        <v>155.9855</v>
      </c>
      <c r="M134" s="1">
        <v>0.74816240000000001</v>
      </c>
      <c r="N134" s="1">
        <v>1.19877E-2</v>
      </c>
      <c r="O134" s="1">
        <v>1.4359999999999999E-4</v>
      </c>
      <c r="P134" s="1">
        <f ca="1">SUM(OFFSET($A$127,7,1,1,14))</f>
        <v>2340.9513829999996</v>
      </c>
      <c r="Q134" s="2">
        <f ca="1">SUM(OFFSET($A$127,7,1,1,12))</f>
        <v>2340.9392516999997</v>
      </c>
    </row>
    <row r="135" spans="1:17" x14ac:dyDescent="0.2">
      <c r="A135" s="1">
        <v>7</v>
      </c>
      <c r="B135" s="1">
        <v>1.9450700000000001E-2</v>
      </c>
      <c r="C135" s="1">
        <v>2.5040799999999998E-2</v>
      </c>
      <c r="D135" s="1">
        <v>0.51027610000000001</v>
      </c>
      <c r="E135" s="1">
        <v>132.41630000000001</v>
      </c>
      <c r="F135" s="1">
        <v>80.111999999999995</v>
      </c>
      <c r="G135" s="1">
        <v>0.23594899999999999</v>
      </c>
      <c r="H135" s="1">
        <v>1157.5999999999999</v>
      </c>
      <c r="I135" s="1">
        <v>26.24521</v>
      </c>
      <c r="J135" s="1">
        <v>16.85511</v>
      </c>
      <c r="K135" s="1">
        <v>9.0828699999999998E-2</v>
      </c>
      <c r="L135" s="1">
        <v>2.942E-4</v>
      </c>
      <c r="M135" s="1">
        <v>1.6414000000000001E-3</v>
      </c>
      <c r="N135" s="1">
        <v>0</v>
      </c>
      <c r="O135" s="1">
        <v>4.9999999999999998E-7</v>
      </c>
      <c r="P135" s="1">
        <f ca="1">SUM(OFFSET($A$127,8,1,1,14))</f>
        <v>1414.1121013999998</v>
      </c>
      <c r="Q135" s="2">
        <f ca="1">SUM(OFFSET($A$127,8,1,1,12))</f>
        <v>1414.1121008999999</v>
      </c>
    </row>
    <row r="136" spans="1:17" x14ac:dyDescent="0.2">
      <c r="A136" s="1">
        <v>8</v>
      </c>
      <c r="B136" s="1">
        <v>9.5000000000000005E-6</v>
      </c>
      <c r="C136" s="1">
        <v>1.041E-4</v>
      </c>
      <c r="D136" s="1">
        <v>1.8602E-3</v>
      </c>
      <c r="E136" s="1">
        <v>4.7752720000000002</v>
      </c>
      <c r="F136" s="1">
        <v>1.248899</v>
      </c>
      <c r="G136" s="1">
        <v>5.7650000000000002E-3</v>
      </c>
      <c r="H136" s="1">
        <v>37.17033</v>
      </c>
      <c r="I136" s="1">
        <v>546.57140000000004</v>
      </c>
      <c r="J136" s="1">
        <v>53.990130000000001</v>
      </c>
      <c r="K136" s="1">
        <v>1.19126</v>
      </c>
      <c r="L136" s="1">
        <v>3.0000000000000001E-6</v>
      </c>
      <c r="M136" s="1">
        <v>1.51092E-2</v>
      </c>
      <c r="N136" s="1">
        <v>0</v>
      </c>
      <c r="O136" s="1">
        <v>5.9999999999999997E-7</v>
      </c>
      <c r="P136" s="1">
        <f ca="1">SUM(OFFSET($A$127,9,1,1,14))</f>
        <v>644.97014260000014</v>
      </c>
      <c r="Q136" s="2">
        <f ca="1">SUM(OFFSET($A$127,9,1,1,12))</f>
        <v>644.97014200000012</v>
      </c>
    </row>
    <row r="137" spans="1:17" x14ac:dyDescent="0.2">
      <c r="A137" s="1">
        <v>9</v>
      </c>
      <c r="B137" s="1">
        <v>1.63E-5</v>
      </c>
      <c r="C137" s="1">
        <v>1.1982E-3</v>
      </c>
      <c r="D137" s="1">
        <v>4.1540000000000001E-4</v>
      </c>
      <c r="E137" s="1">
        <v>0.92370470000000005</v>
      </c>
      <c r="F137" s="1">
        <v>57.805190000000003</v>
      </c>
      <c r="G137" s="1">
        <v>26.411529999999999</v>
      </c>
      <c r="H137" s="1">
        <v>12.369859999999999</v>
      </c>
      <c r="I137" s="1">
        <v>23.692309999999999</v>
      </c>
      <c r="J137" s="1">
        <v>4026.7370000000001</v>
      </c>
      <c r="K137" s="1">
        <v>280.31729999999999</v>
      </c>
      <c r="L137" s="1">
        <v>7.2158899999999998E-2</v>
      </c>
      <c r="M137" s="1">
        <v>349.70420000000001</v>
      </c>
      <c r="N137" s="1">
        <v>1.22E-4</v>
      </c>
      <c r="O137" s="1">
        <v>0.1380092</v>
      </c>
      <c r="P137" s="1">
        <f ca="1">SUM(OFFSET($A$127,10,1,1,14))</f>
        <v>4778.1730147000007</v>
      </c>
      <c r="Q137" s="2">
        <f ca="1">SUM(OFFSET($A$127,10,1,1,12))</f>
        <v>4778.0348835000004</v>
      </c>
    </row>
    <row r="138" spans="1:17" x14ac:dyDescent="0.2">
      <c r="A138" s="1">
        <v>10</v>
      </c>
      <c r="B138" s="1">
        <v>0</v>
      </c>
      <c r="C138" s="1">
        <v>5.9999999999999997E-7</v>
      </c>
      <c r="D138" s="1">
        <v>1.3999999999999999E-6</v>
      </c>
      <c r="E138" s="1">
        <v>6.2423000000000001E-3</v>
      </c>
      <c r="F138" s="1">
        <v>4.00072E-2</v>
      </c>
      <c r="G138" s="1">
        <v>7.2716999999999999E-3</v>
      </c>
      <c r="H138" s="1">
        <v>0.1063586</v>
      </c>
      <c r="I138" s="1">
        <v>0.83052499999999996</v>
      </c>
      <c r="J138" s="1">
        <v>289.0729</v>
      </c>
      <c r="K138" s="1">
        <v>950.02099999999996</v>
      </c>
      <c r="L138" s="1">
        <v>6.7399999999999998E-5</v>
      </c>
      <c r="M138" s="1">
        <v>68.827280000000002</v>
      </c>
      <c r="N138" s="1">
        <v>8.9999999999999996E-7</v>
      </c>
      <c r="O138" s="1">
        <v>2.3235E-3</v>
      </c>
      <c r="P138" s="1">
        <f ca="1">SUM(OFFSET($A$127,11,1,1,14))</f>
        <v>1308.9139786000001</v>
      </c>
      <c r="Q138" s="2">
        <f ca="1">SUM(OFFSET($A$127,11,1,1,12))</f>
        <v>1308.9116541999999</v>
      </c>
    </row>
    <row r="139" spans="1:17" x14ac:dyDescent="0.2">
      <c r="A139" s="1">
        <v>11</v>
      </c>
      <c r="B139" s="1">
        <v>3.9999999999999998E-7</v>
      </c>
      <c r="C139" s="1">
        <v>2.6100000000000001E-5</v>
      </c>
      <c r="D139" s="1">
        <v>1.7999999999999999E-6</v>
      </c>
      <c r="E139" s="1">
        <v>1.1172000000000001E-3</v>
      </c>
      <c r="F139" s="1">
        <v>0.16469159999999999</v>
      </c>
      <c r="G139" s="1">
        <v>186.51140000000001</v>
      </c>
      <c r="H139" s="1">
        <v>3.4440000000000002E-4</v>
      </c>
      <c r="I139" s="1">
        <v>2.3999999999999999E-6</v>
      </c>
      <c r="J139" s="1">
        <v>8.5437600000000002E-2</v>
      </c>
      <c r="K139" s="1">
        <v>5.5399999999999998E-5</v>
      </c>
      <c r="L139" s="1">
        <v>1168.2139999999999</v>
      </c>
      <c r="M139" s="1">
        <v>0.43438680000000002</v>
      </c>
      <c r="N139" s="1">
        <v>66.646709999999999</v>
      </c>
      <c r="O139" s="1">
        <v>0.2101045</v>
      </c>
      <c r="P139" s="1">
        <f ca="1">SUM(OFFSET($A$127,12,1,1,14))</f>
        <v>1422.2682781999999</v>
      </c>
      <c r="Q139" s="2">
        <f ca="1">SUM(OFFSET($A$127,12,1,1,12))</f>
        <v>1355.4114637</v>
      </c>
    </row>
    <row r="140" spans="1:17" x14ac:dyDescent="0.2">
      <c r="A140" s="1">
        <v>12</v>
      </c>
      <c r="B140" s="1">
        <v>9.9999999999999995E-8</v>
      </c>
      <c r="C140" s="1">
        <v>7.7000000000000008E-6</v>
      </c>
      <c r="D140" s="1">
        <v>4.9999999999999998E-7</v>
      </c>
      <c r="E140" s="1">
        <v>1.984E-4</v>
      </c>
      <c r="F140" s="1">
        <v>5.4225799999999998E-2</v>
      </c>
      <c r="G140" s="1">
        <v>0.92214390000000002</v>
      </c>
      <c r="H140" s="1">
        <v>1.7248000000000001E-3</v>
      </c>
      <c r="I140" s="1">
        <v>1.05898E-2</v>
      </c>
      <c r="J140" s="1">
        <v>344.4975</v>
      </c>
      <c r="K140" s="1">
        <v>66.014529999999993</v>
      </c>
      <c r="L140" s="1">
        <v>0.45062069999999999</v>
      </c>
      <c r="M140" s="1">
        <v>4847.93</v>
      </c>
      <c r="N140" s="1">
        <v>0.13133439999999999</v>
      </c>
      <c r="O140" s="1">
        <v>191.75899999999999</v>
      </c>
      <c r="P140" s="1">
        <f ca="1">SUM(OFFSET($A$127,13,1,1,14))</f>
        <v>5451.7718761000006</v>
      </c>
      <c r="Q140" s="2">
        <f ca="1">SUM(OFFSET($A$127,13,1,1,12))</f>
        <v>5259.8815417000005</v>
      </c>
    </row>
    <row r="141" spans="1:17" x14ac:dyDescent="0.2">
      <c r="A141" s="1">
        <v>13</v>
      </c>
      <c r="B141" s="1">
        <v>0</v>
      </c>
      <c r="C141" s="1">
        <v>0</v>
      </c>
      <c r="D141" s="1">
        <v>0</v>
      </c>
      <c r="E141" s="1">
        <v>9.9999999999999995E-8</v>
      </c>
      <c r="F141" s="1">
        <v>3.04E-5</v>
      </c>
      <c r="G141" s="1">
        <v>1.7824699999999999E-2</v>
      </c>
      <c r="H141" s="1">
        <v>0</v>
      </c>
      <c r="I141" s="1">
        <v>0</v>
      </c>
      <c r="J141" s="1">
        <v>1.1519999999999999E-4</v>
      </c>
      <c r="K141" s="1">
        <v>6.9999999999999997E-7</v>
      </c>
      <c r="L141" s="1">
        <v>71.431629999999998</v>
      </c>
      <c r="M141" s="1">
        <v>0.1078042</v>
      </c>
      <c r="N141" s="1">
        <v>2266.3580000000002</v>
      </c>
      <c r="O141" s="1">
        <v>226.1003</v>
      </c>
      <c r="P141" s="1">
        <f ca="1">SUM(OFFSET($A$127,14,1,1,14))</f>
        <v>2564.0157053000003</v>
      </c>
      <c r="Q141" s="2">
        <f ca="1">SUM(OFFSET($A$127,14,1,1,12))</f>
        <v>71.557405299999999</v>
      </c>
    </row>
    <row r="142" spans="1:17" x14ac:dyDescent="0.2">
      <c r="A142" s="1">
        <v>14</v>
      </c>
      <c r="B142" s="1">
        <v>0</v>
      </c>
      <c r="C142" s="1">
        <v>0</v>
      </c>
      <c r="D142" s="1">
        <v>0</v>
      </c>
      <c r="E142" s="1">
        <v>1.9999999999999999E-7</v>
      </c>
      <c r="F142" s="1">
        <v>2.9300000000000001E-5</v>
      </c>
      <c r="G142" s="1">
        <v>2.184E-4</v>
      </c>
      <c r="H142" s="1">
        <v>5.9999999999999997E-7</v>
      </c>
      <c r="I142" s="1">
        <v>5.9999999999999997E-7</v>
      </c>
      <c r="J142" s="1">
        <v>0.16699059999999999</v>
      </c>
      <c r="K142" s="1">
        <v>2.3495E-3</v>
      </c>
      <c r="L142" s="1">
        <v>0.2187549</v>
      </c>
      <c r="M142" s="1">
        <v>218.62970000000001</v>
      </c>
      <c r="N142" s="1">
        <v>250.11600000000001</v>
      </c>
      <c r="O142" s="1">
        <v>8958.2800000000007</v>
      </c>
      <c r="P142" s="1">
        <f ca="1">SUM(OFFSET($A$127,15,1,1,14))</f>
        <v>9427.4140441</v>
      </c>
      <c r="Q142" s="2">
        <f ca="1">SUM(OFFSET($A$127,15,1,1,12))</f>
        <v>219.01804410000003</v>
      </c>
    </row>
    <row r="143" spans="1:17" x14ac:dyDescent="0.2">
      <c r="A143" s="1" t="s">
        <v>43</v>
      </c>
      <c r="B143" s="1">
        <f ca="1">SUM(OFFSET($A$127,2,1,14,1))</f>
        <v>882.75898629999983</v>
      </c>
      <c r="C143" s="1">
        <f ca="1">SUM(OFFSET($A$127,2,2,14,1))</f>
        <v>1282.5522507000001</v>
      </c>
      <c r="D143" s="1">
        <f ca="1">SUM(OFFSET($A$127,2,3,14,1))</f>
        <v>445.56987320000002</v>
      </c>
      <c r="E143" s="1">
        <f ca="1">SUM(OFFSET($A$127,2,4,14,1))</f>
        <v>5183.4271718999998</v>
      </c>
      <c r="F143" s="1">
        <f ca="1">SUM(OFFSET($A$127,2,5,14,1))</f>
        <v>2419.2585243000003</v>
      </c>
      <c r="G143" s="1">
        <f ca="1">SUM(OFFSET($A$127,2,6,14,1))</f>
        <v>2344.5637250999989</v>
      </c>
      <c r="H143" s="1">
        <f ca="1">SUM(OFFSET($A$127,2,7,14,1))</f>
        <v>1531.2834665999997</v>
      </c>
      <c r="I143" s="1">
        <f ca="1">SUM(OFFSET($A$127,2,8,14,1))</f>
        <v>605.50156790000005</v>
      </c>
      <c r="J143" s="1">
        <f ca="1">SUM(OFFSET($A$127,2,9,14,1))</f>
        <v>4795.5010166000002</v>
      </c>
      <c r="K143" s="1">
        <f ca="1">SUM(OFFSET($A$127,2,10,14,1))</f>
        <v>1297.6850503000001</v>
      </c>
      <c r="L143" s="1">
        <f ca="1">SUM(OFFSET($A$127,2,11,14,1))</f>
        <v>1396.4626220999999</v>
      </c>
      <c r="M143" s="1">
        <f ca="1">SUM(OFFSET($A$127,2,12,14,1))</f>
        <v>5486.4313999000005</v>
      </c>
      <c r="N143" s="1">
        <f ca="1">SUM(OFFSET($A$127,2,13,14,1))</f>
        <v>2583.2641694000004</v>
      </c>
      <c r="O143" s="1">
        <f ca="1">SUM(OFFSET($A$127,2,14,14,1))</f>
        <v>9376.4898968000016</v>
      </c>
      <c r="P143" s="1">
        <f ca="1">SUM(OFFSET($A$127,16,1,1,14))</f>
        <v>39630.749721100001</v>
      </c>
      <c r="Q143" s="2">
        <f ca="1">SUM(OFFSET($A$127,16,1,1,12))</f>
        <v>27670.995654899998</v>
      </c>
    </row>
    <row r="144" spans="1:17" x14ac:dyDescent="0.2">
      <c r="O144" s="11" t="s">
        <v>59</v>
      </c>
      <c r="P144" s="1">
        <f ca="1">SUM(OFFSET($B$129,0,0,12,12))</f>
        <v>27380.420205500002</v>
      </c>
    </row>
  </sheetData>
  <pageMargins left="0.25" right="0.25" top="0.75" bottom="0.75" header="0.3" footer="0.3"/>
  <pageSetup orientation="portrait" r:id="rId1"/>
  <headerFooter>
    <oddFooter>&amp;L&amp;"-,Italic"&amp;7&amp;F&amp;R&amp;"-,Italic"&amp;6&amp;D  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9" width="6.28515625" style="1"/>
    <col min="10" max="10" width="6.28515625" style="1" customWidth="1"/>
    <col min="11" max="15" width="6.28515625" style="1"/>
    <col min="16" max="16" width="7.7109375" style="1" customWidth="1"/>
    <col min="17" max="17" width="7.7109375" style="2" customWidth="1"/>
    <col min="18" max="18" width="40.7109375" style="1" customWidth="1"/>
    <col min="19" max="19" width="6.28515625" style="1" customWidth="1"/>
    <col min="20" max="16384" width="6.28515625" style="1"/>
  </cols>
  <sheetData>
    <row r="1" spans="1:20" x14ac:dyDescent="0.2">
      <c r="A1" s="1" t="s">
        <v>87</v>
      </c>
    </row>
    <row r="2" spans="1:20" x14ac:dyDescent="0.2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 t="s">
        <v>43</v>
      </c>
      <c r="Q2" s="2" t="s">
        <v>61</v>
      </c>
      <c r="R2" s="1" t="s">
        <v>86</v>
      </c>
      <c r="S2" s="1">
        <f ca="1">OFFSET(A1,16,15)</f>
        <v>57300.523286299998</v>
      </c>
      <c r="T2" s="1">
        <f ca="1">OFFSET(A1,17,15)</f>
        <v>45077.753041999997</v>
      </c>
    </row>
    <row r="3" spans="1:20" x14ac:dyDescent="0.2">
      <c r="A3" s="1">
        <v>1</v>
      </c>
      <c r="B3" s="1">
        <v>114.6887</v>
      </c>
      <c r="C3" s="1">
        <v>95.9482</v>
      </c>
      <c r="D3" s="1">
        <v>25.953679999999999</v>
      </c>
      <c r="E3" s="1">
        <v>149.9751</v>
      </c>
      <c r="F3" s="1">
        <v>125.5046</v>
      </c>
      <c r="G3" s="1">
        <v>2.7115990000000001</v>
      </c>
      <c r="H3" s="1">
        <v>13.711729999999999</v>
      </c>
      <c r="I3" s="1">
        <v>0.83337380000000005</v>
      </c>
      <c r="J3" s="1">
        <v>3.0003259999999998</v>
      </c>
      <c r="K3" s="1">
        <v>0.17587059999999999</v>
      </c>
      <c r="L3" s="1">
        <v>0.55508950000000001</v>
      </c>
      <c r="M3" s="1">
        <v>0.83182809999999996</v>
      </c>
      <c r="N3" s="1">
        <v>3.0330900000000001E-2</v>
      </c>
      <c r="O3" s="1">
        <v>0.1073762</v>
      </c>
      <c r="P3" s="1">
        <f ca="1">SUM(OFFSET($A$1,2,1,1,14))</f>
        <v>534.02780410000003</v>
      </c>
      <c r="Q3" s="2">
        <f ca="1">SUM(OFFSET($A$1,2,1,1,12))</f>
        <v>533.89009700000008</v>
      </c>
      <c r="R3" s="1" t="s">
        <v>88</v>
      </c>
      <c r="S3" s="1">
        <f ca="1">OFFSET(A1,34,15)</f>
        <v>21253.673783099999</v>
      </c>
      <c r="T3" s="1">
        <f ca="1">OFFSET(A1,35,15)</f>
        <v>17405.778882899998</v>
      </c>
    </row>
    <row r="4" spans="1:20" x14ac:dyDescent="0.2">
      <c r="A4" s="1">
        <v>2</v>
      </c>
      <c r="B4" s="1">
        <v>96.869100000000003</v>
      </c>
      <c r="C4" s="1">
        <v>1561.924</v>
      </c>
      <c r="D4" s="1">
        <v>74.652109999999993</v>
      </c>
      <c r="E4" s="1">
        <v>516.79110000000003</v>
      </c>
      <c r="F4" s="1">
        <v>551.64589999999998</v>
      </c>
      <c r="G4" s="1">
        <v>121.4083</v>
      </c>
      <c r="H4" s="1">
        <v>59.22607</v>
      </c>
      <c r="I4" s="1">
        <v>30.362020000000001</v>
      </c>
      <c r="J4" s="1">
        <v>133.94030000000001</v>
      </c>
      <c r="K4" s="1">
        <v>8.3121880000000008</v>
      </c>
      <c r="L4" s="1">
        <v>47.758879999999998</v>
      </c>
      <c r="M4" s="1">
        <v>24.528120000000001</v>
      </c>
      <c r="N4" s="1">
        <v>1.061323</v>
      </c>
      <c r="O4" s="1">
        <v>6.719964</v>
      </c>
      <c r="P4" s="1">
        <f ca="1">SUM(OFFSET($A$1,3,1,1,14))</f>
        <v>3235.1993749999997</v>
      </c>
      <c r="Q4" s="2">
        <f ca="1">SUM(OFFSET($A$1,3,1,1,12))</f>
        <v>3227.4180879999999</v>
      </c>
      <c r="R4" s="1" t="s">
        <v>90</v>
      </c>
      <c r="S4" s="1">
        <f ca="1">OFFSET(A1,52,15)</f>
        <v>6648.2712872000011</v>
      </c>
      <c r="T4" s="1">
        <f ca="1">OFFSET(A1,53,15)</f>
        <v>5494.7012875000009</v>
      </c>
    </row>
    <row r="5" spans="1:20" x14ac:dyDescent="0.2">
      <c r="A5" s="1">
        <v>3</v>
      </c>
      <c r="B5" s="1">
        <v>98.240409999999997</v>
      </c>
      <c r="C5" s="1">
        <v>346.90980000000002</v>
      </c>
      <c r="D5" s="1">
        <v>201.7261</v>
      </c>
      <c r="E5" s="1">
        <v>816.87210000000005</v>
      </c>
      <c r="F5" s="1">
        <v>461.2731</v>
      </c>
      <c r="G5" s="1">
        <v>91.015000000000001</v>
      </c>
      <c r="H5" s="1">
        <v>247.011</v>
      </c>
      <c r="I5" s="1">
        <v>49.907899999999998</v>
      </c>
      <c r="J5" s="1">
        <v>313.80549999999999</v>
      </c>
      <c r="K5" s="1">
        <v>13.608280000000001</v>
      </c>
      <c r="L5" s="1">
        <v>41.706009999999999</v>
      </c>
      <c r="M5" s="1">
        <v>42.877679999999998</v>
      </c>
      <c r="N5" s="1">
        <v>0.88708359999999997</v>
      </c>
      <c r="O5" s="1">
        <v>5.6919969999999998</v>
      </c>
      <c r="P5" s="1">
        <f ca="1">SUM(OFFSET($A$1,4,1,1,14))</f>
        <v>2731.5319606000003</v>
      </c>
      <c r="Q5" s="2">
        <f ca="1">SUM(OFFSET($A$1,4,1,1,12))</f>
        <v>2724.9528800000003</v>
      </c>
      <c r="R5" s="1" t="s">
        <v>92</v>
      </c>
      <c r="S5" s="1">
        <f ca="1">OFFSET(A1,70,15)</f>
        <v>67231.708085200007</v>
      </c>
      <c r="T5" s="1">
        <f ca="1">OFFSET(A1,71,15)</f>
        <v>65484.467694100014</v>
      </c>
    </row>
    <row r="6" spans="1:20" x14ac:dyDescent="0.2">
      <c r="A6" s="1">
        <v>4</v>
      </c>
      <c r="B6" s="1">
        <v>163.56739999999999</v>
      </c>
      <c r="C6" s="1">
        <v>585.47400000000005</v>
      </c>
      <c r="D6" s="1">
        <v>194.13079999999999</v>
      </c>
      <c r="E6" s="1">
        <v>3510.43</v>
      </c>
      <c r="F6" s="1">
        <v>1047.1130000000001</v>
      </c>
      <c r="G6" s="1">
        <v>274.15570000000002</v>
      </c>
      <c r="H6" s="1">
        <v>1103.364</v>
      </c>
      <c r="I6" s="1">
        <v>391.44029999999998</v>
      </c>
      <c r="J6" s="1">
        <v>824.94579999999996</v>
      </c>
      <c r="K6" s="1">
        <v>107.4679</v>
      </c>
      <c r="L6" s="1">
        <v>49.032069999999997</v>
      </c>
      <c r="M6" s="1">
        <v>166.90620000000001</v>
      </c>
      <c r="N6" s="1">
        <v>3.807528</v>
      </c>
      <c r="O6" s="1">
        <v>51.088700000000003</v>
      </c>
      <c r="P6" s="1">
        <f ca="1">SUM(OFFSET($A$1,5,1,1,14))</f>
        <v>8472.923397999999</v>
      </c>
      <c r="Q6" s="2">
        <f ca="1">SUM(OFFSET($A$1,5,1,1,12))</f>
        <v>8418.0271699999994</v>
      </c>
      <c r="R6" s="1" t="s">
        <v>94</v>
      </c>
      <c r="S6" s="1">
        <f ca="1">OFFSET(A1,88,15)</f>
        <v>63784.336615499997</v>
      </c>
      <c r="T6" s="1">
        <f ca="1">OFFSET(A1,89,15)</f>
        <v>63680.213641200025</v>
      </c>
    </row>
    <row r="7" spans="1:20" x14ac:dyDescent="0.2">
      <c r="A7" s="1">
        <v>5</v>
      </c>
      <c r="B7" s="1">
        <v>124.96080000000001</v>
      </c>
      <c r="C7" s="1">
        <v>514.76969999999994</v>
      </c>
      <c r="D7" s="1">
        <v>73.453000000000003</v>
      </c>
      <c r="E7" s="1">
        <v>870.43110000000001</v>
      </c>
      <c r="F7" s="1">
        <v>2534.9450000000002</v>
      </c>
      <c r="G7" s="1">
        <v>1335.97</v>
      </c>
      <c r="H7" s="1">
        <v>572.89970000000005</v>
      </c>
      <c r="I7" s="1">
        <v>110.34820000000001</v>
      </c>
      <c r="J7" s="1">
        <v>1730.8520000000001</v>
      </c>
      <c r="K7" s="1">
        <v>104.77200000000001</v>
      </c>
      <c r="L7" s="1">
        <v>243.851</v>
      </c>
      <c r="M7" s="1">
        <v>338.84</v>
      </c>
      <c r="N7" s="1">
        <v>48.431950000000001</v>
      </c>
      <c r="O7" s="1">
        <v>132.4194</v>
      </c>
      <c r="P7" s="1">
        <f ca="1">SUM(OFFSET($A$1,6,1,1,14))</f>
        <v>8736.9438500000015</v>
      </c>
      <c r="Q7" s="2">
        <f ca="1">SUM(OFFSET($A$1,6,1,1,12))</f>
        <v>8556.0925000000007</v>
      </c>
      <c r="R7" s="1" t="s">
        <v>96</v>
      </c>
      <c r="S7" s="1">
        <f ca="1">OFFSET(A1,106,15)</f>
        <v>11276.643365499998</v>
      </c>
      <c r="T7" s="1">
        <f ca="1">OFFSET(A1,107,15)</f>
        <v>10623.089185199997</v>
      </c>
    </row>
    <row r="8" spans="1:20" x14ac:dyDescent="0.2">
      <c r="A8" s="1">
        <v>6</v>
      </c>
      <c r="B8" s="1">
        <v>2.5193650000000001</v>
      </c>
      <c r="C8" s="1">
        <v>110.02670000000001</v>
      </c>
      <c r="D8" s="1">
        <v>15.5678</v>
      </c>
      <c r="E8" s="1">
        <v>200.0891</v>
      </c>
      <c r="F8" s="1">
        <v>1178.6759999999999</v>
      </c>
      <c r="G8" s="1">
        <v>1019.924</v>
      </c>
      <c r="H8" s="1">
        <v>29.578769999999999</v>
      </c>
      <c r="I8" s="1">
        <v>6.4084009999999996</v>
      </c>
      <c r="J8" s="1">
        <v>205.88210000000001</v>
      </c>
      <c r="K8" s="1">
        <v>10.9833</v>
      </c>
      <c r="L8" s="1">
        <v>126.8729</v>
      </c>
      <c r="M8" s="1">
        <v>60.317909999999998</v>
      </c>
      <c r="N8" s="1">
        <v>7.8847009999999997</v>
      </c>
      <c r="O8" s="1">
        <v>24.623449999999998</v>
      </c>
      <c r="P8" s="1">
        <f ca="1">SUM(OFFSET($A$1,7,1,1,14))</f>
        <v>2999.3544969999998</v>
      </c>
      <c r="Q8" s="2">
        <f ca="1">SUM(OFFSET($A$1,7,1,1,12))</f>
        <v>2966.8463459999998</v>
      </c>
      <c r="R8" s="1" t="s">
        <v>98</v>
      </c>
      <c r="S8" s="1">
        <f ca="1">OFFSET(A1,124,15)</f>
        <v>0</v>
      </c>
      <c r="T8" s="1">
        <f ca="1">OFFSET(A1,125,15)</f>
        <v>0</v>
      </c>
    </row>
    <row r="9" spans="1:20" x14ac:dyDescent="0.2">
      <c r="A9" s="1">
        <v>7</v>
      </c>
      <c r="B9" s="1">
        <v>14.47167</v>
      </c>
      <c r="C9" s="1">
        <v>57.575960000000002</v>
      </c>
      <c r="D9" s="1">
        <v>55.585009999999997</v>
      </c>
      <c r="E9" s="1">
        <v>966.60339999999997</v>
      </c>
      <c r="F9" s="1">
        <v>531.29579999999999</v>
      </c>
      <c r="G9" s="1">
        <v>35.931100000000001</v>
      </c>
      <c r="H9" s="1">
        <v>1103.704</v>
      </c>
      <c r="I9" s="1">
        <v>196.81649999999999</v>
      </c>
      <c r="J9" s="1">
        <v>141.0352</v>
      </c>
      <c r="K9" s="1">
        <v>34.907879999999999</v>
      </c>
      <c r="L9" s="1">
        <v>4.6203789999999998</v>
      </c>
      <c r="M9" s="1">
        <v>36.013860000000001</v>
      </c>
      <c r="N9" s="1">
        <v>0.24701880000000001</v>
      </c>
      <c r="O9" s="1">
        <v>2.6982080000000002</v>
      </c>
      <c r="P9" s="1">
        <f ca="1">SUM(OFFSET($A$1,8,1,1,14))</f>
        <v>3181.5059858</v>
      </c>
      <c r="Q9" s="2">
        <f ca="1">SUM(OFFSET($A$1,8,1,1,12))</f>
        <v>3178.560759</v>
      </c>
      <c r="R9" s="1" t="s">
        <v>100</v>
      </c>
      <c r="S9" s="1">
        <f ca="1">OFFSET(A1,142,15)</f>
        <v>0</v>
      </c>
      <c r="T9" s="1">
        <f ca="1">OFFSET(A1,143,15)</f>
        <v>0</v>
      </c>
    </row>
    <row r="10" spans="1:20" x14ac:dyDescent="0.2">
      <c r="A10" s="1">
        <v>8</v>
      </c>
      <c r="B10" s="1">
        <v>0.73758259999999998</v>
      </c>
      <c r="C10" s="1">
        <v>27.415749999999999</v>
      </c>
      <c r="D10" s="1">
        <v>10.48429</v>
      </c>
      <c r="E10" s="1">
        <v>299.238</v>
      </c>
      <c r="F10" s="1">
        <v>94.534520000000001</v>
      </c>
      <c r="G10" s="1">
        <v>6.3584569999999996</v>
      </c>
      <c r="H10" s="1">
        <v>156.76410000000001</v>
      </c>
      <c r="I10" s="1">
        <v>114.49290000000001</v>
      </c>
      <c r="J10" s="1">
        <v>126.81319999999999</v>
      </c>
      <c r="K10" s="1">
        <v>15.22405</v>
      </c>
      <c r="L10" s="1">
        <v>1.4760899999999999</v>
      </c>
      <c r="M10" s="1">
        <v>27.330819999999999</v>
      </c>
      <c r="N10" s="1">
        <v>0.12768009999999999</v>
      </c>
      <c r="O10" s="1">
        <v>1.4989840000000001</v>
      </c>
      <c r="P10" s="1">
        <f ca="1">SUM(OFFSET($A$1,9,1,1,14))</f>
        <v>882.49642369999992</v>
      </c>
      <c r="Q10" s="2">
        <f ca="1">SUM(OFFSET($A$1,9,1,1,12))</f>
        <v>880.86975959999995</v>
      </c>
    </row>
    <row r="11" spans="1:20" x14ac:dyDescent="0.2">
      <c r="A11" s="1">
        <v>9</v>
      </c>
      <c r="B11" s="1">
        <v>2.7132559999999999</v>
      </c>
      <c r="C11" s="1">
        <v>116.16160000000001</v>
      </c>
      <c r="D11" s="1">
        <v>51.104529999999997</v>
      </c>
      <c r="E11" s="1">
        <v>607.97739999999999</v>
      </c>
      <c r="F11" s="1">
        <v>1441.5930000000001</v>
      </c>
      <c r="G11" s="1">
        <v>197.3964</v>
      </c>
      <c r="H11" s="1">
        <v>136.1678</v>
      </c>
      <c r="I11" s="1">
        <v>138.51329999999999</v>
      </c>
      <c r="J11" s="1">
        <v>5432.2370000000001</v>
      </c>
      <c r="K11" s="1">
        <v>274.41250000000002</v>
      </c>
      <c r="L11" s="1">
        <v>63.141129999999997</v>
      </c>
      <c r="M11" s="1">
        <v>999.68560000000002</v>
      </c>
      <c r="N11" s="1">
        <v>11.63931</v>
      </c>
      <c r="O11" s="1">
        <v>242.69730000000001</v>
      </c>
      <c r="P11" s="1">
        <f ca="1">SUM(OFFSET($A$1,10,1,1,14))</f>
        <v>9715.4401260000013</v>
      </c>
      <c r="Q11" s="2">
        <f ca="1">SUM(OFFSET($A$1,10,1,1,12))</f>
        <v>9461.103516000001</v>
      </c>
    </row>
    <row r="12" spans="1:20" x14ac:dyDescent="0.2">
      <c r="A12" s="1">
        <v>10</v>
      </c>
      <c r="B12" s="1">
        <v>0.1490773</v>
      </c>
      <c r="C12" s="1">
        <v>7.1021159999999997</v>
      </c>
      <c r="D12" s="1">
        <v>2.2078220000000002</v>
      </c>
      <c r="E12" s="1">
        <v>85.502650000000003</v>
      </c>
      <c r="F12" s="1">
        <v>80.287009999999995</v>
      </c>
      <c r="G12" s="1">
        <v>9.7163050000000002</v>
      </c>
      <c r="H12" s="1">
        <v>28.189160000000001</v>
      </c>
      <c r="I12" s="1">
        <v>15.16187</v>
      </c>
      <c r="J12" s="1">
        <v>238.87819999999999</v>
      </c>
      <c r="K12" s="1">
        <v>89.884370000000004</v>
      </c>
      <c r="L12" s="1">
        <v>1.788203</v>
      </c>
      <c r="M12" s="1">
        <v>136.6146</v>
      </c>
      <c r="N12" s="1">
        <v>0.2758853</v>
      </c>
      <c r="O12" s="1">
        <v>17.388580000000001</v>
      </c>
      <c r="P12" s="1">
        <f ca="1">SUM(OFFSET($A$1,11,1,1,14))</f>
        <v>713.14584860000002</v>
      </c>
      <c r="Q12" s="2">
        <f ca="1">SUM(OFFSET($A$1,11,1,1,12))</f>
        <v>695.48138329999995</v>
      </c>
    </row>
    <row r="13" spans="1:20" x14ac:dyDescent="0.2">
      <c r="A13" s="1">
        <v>11</v>
      </c>
      <c r="B13" s="1">
        <v>0.49630590000000002</v>
      </c>
      <c r="C13" s="1">
        <v>43.302529999999997</v>
      </c>
      <c r="D13" s="1">
        <v>7.9756039999999997</v>
      </c>
      <c r="E13" s="1">
        <v>36.558959999999999</v>
      </c>
      <c r="F13" s="1">
        <v>243.21809999999999</v>
      </c>
      <c r="G13" s="1">
        <v>104.0239</v>
      </c>
      <c r="H13" s="1">
        <v>3.795385</v>
      </c>
      <c r="I13" s="1">
        <v>1.5103709999999999</v>
      </c>
      <c r="J13" s="1">
        <v>63.028129999999997</v>
      </c>
      <c r="K13" s="1">
        <v>1.704054</v>
      </c>
      <c r="L13" s="1">
        <v>198.44300000000001</v>
      </c>
      <c r="M13" s="1">
        <v>35.827840000000002</v>
      </c>
      <c r="N13" s="1">
        <v>32.47475</v>
      </c>
      <c r="O13" s="1">
        <v>147.97980000000001</v>
      </c>
      <c r="P13" s="1">
        <f ca="1">SUM(OFFSET($A$1,12,1,1,14))</f>
        <v>920.33872990000009</v>
      </c>
      <c r="Q13" s="2">
        <f ca="1">SUM(OFFSET($A$1,12,1,1,12))</f>
        <v>739.88417990000005</v>
      </c>
    </row>
    <row r="14" spans="1:20" x14ac:dyDescent="0.2">
      <c r="A14" s="1">
        <v>12</v>
      </c>
      <c r="B14" s="1">
        <v>0.83781320000000004</v>
      </c>
      <c r="C14" s="1">
        <v>22.699020000000001</v>
      </c>
      <c r="D14" s="1">
        <v>12.981439999999999</v>
      </c>
      <c r="E14" s="1">
        <v>142.67060000000001</v>
      </c>
      <c r="F14" s="1">
        <v>308.95929999999998</v>
      </c>
      <c r="G14" s="1">
        <v>58.845970000000001</v>
      </c>
      <c r="H14" s="1">
        <v>35.398150000000001</v>
      </c>
      <c r="I14" s="1">
        <v>29.02073</v>
      </c>
      <c r="J14" s="1">
        <v>1034.229</v>
      </c>
      <c r="K14" s="1">
        <v>144.7175</v>
      </c>
      <c r="L14" s="1">
        <v>36.298839999999998</v>
      </c>
      <c r="M14" s="1">
        <v>1867.9680000000001</v>
      </c>
      <c r="N14" s="1">
        <v>28.463190000000001</v>
      </c>
      <c r="O14" s="1">
        <v>921.58240000000001</v>
      </c>
      <c r="P14" s="1">
        <f ca="1">SUM(OFFSET($A$1,13,1,1,14))</f>
        <v>4644.6719531999997</v>
      </c>
      <c r="Q14" s="2">
        <f ca="1">SUM(OFFSET($A$1,13,1,1,12))</f>
        <v>3694.6263632</v>
      </c>
    </row>
    <row r="15" spans="1:20" x14ac:dyDescent="0.2">
      <c r="A15" s="1">
        <v>13</v>
      </c>
      <c r="B15" s="1">
        <v>2.5542700000000002E-2</v>
      </c>
      <c r="C15" s="1">
        <v>0.96097410000000005</v>
      </c>
      <c r="D15" s="1">
        <v>0.2827191</v>
      </c>
      <c r="E15" s="1">
        <v>2.5545040000000001</v>
      </c>
      <c r="F15" s="1">
        <v>36.977440000000001</v>
      </c>
      <c r="G15" s="1">
        <v>6.4904109999999999</v>
      </c>
      <c r="H15" s="1">
        <v>0.20169319999999999</v>
      </c>
      <c r="I15" s="1">
        <v>0.1144128</v>
      </c>
      <c r="J15" s="1">
        <v>10.57564</v>
      </c>
      <c r="K15" s="1">
        <v>0.2758118</v>
      </c>
      <c r="L15" s="1">
        <v>29.250250000000001</v>
      </c>
      <c r="M15" s="1">
        <v>26.810690000000001</v>
      </c>
      <c r="N15" s="1">
        <v>159.12430000000001</v>
      </c>
      <c r="O15" s="1">
        <v>622.63840000000005</v>
      </c>
      <c r="P15" s="1">
        <f ca="1">SUM(OFFSET($A$1,14,1,1,14))</f>
        <v>896.28278870000008</v>
      </c>
      <c r="Q15" s="2">
        <f ca="1">SUM(OFFSET($A$1,14,1,1,12))</f>
        <v>114.5200887</v>
      </c>
    </row>
    <row r="16" spans="1:20" x14ac:dyDescent="0.2">
      <c r="A16" s="1">
        <v>14</v>
      </c>
      <c r="B16" s="1">
        <v>0.1062707</v>
      </c>
      <c r="C16" s="1">
        <v>6.5089449999999998</v>
      </c>
      <c r="D16" s="1">
        <v>1.6731279999999999</v>
      </c>
      <c r="E16" s="1">
        <v>42.242939999999997</v>
      </c>
      <c r="F16" s="1">
        <v>118.5748</v>
      </c>
      <c r="G16" s="1">
        <v>20.45327</v>
      </c>
      <c r="H16" s="1">
        <v>2.5406620000000002</v>
      </c>
      <c r="I16" s="1">
        <v>1.5048999999999999</v>
      </c>
      <c r="J16" s="1">
        <v>246.29810000000001</v>
      </c>
      <c r="K16" s="1">
        <v>17.745830000000002</v>
      </c>
      <c r="L16" s="1">
        <v>137.17070000000001</v>
      </c>
      <c r="M16" s="1">
        <v>912.83360000000005</v>
      </c>
      <c r="N16" s="1">
        <v>618.57640000000004</v>
      </c>
      <c r="O16" s="1">
        <v>7510.4309999999996</v>
      </c>
      <c r="P16" s="1">
        <f ca="1">SUM(OFFSET($A$1,15,1,1,14))</f>
        <v>9636.6605457000005</v>
      </c>
      <c r="Q16" s="2">
        <f ca="1">SUM(OFFSET($A$1,15,1,1,12))</f>
        <v>1507.6531457000001</v>
      </c>
    </row>
    <row r="17" spans="1:17" x14ac:dyDescent="0.2">
      <c r="A17" s="1" t="s">
        <v>43</v>
      </c>
      <c r="B17" s="1">
        <f ca="1">SUM(OFFSET($A$1,2,1,14,1))</f>
        <v>620.38329339999996</v>
      </c>
      <c r="C17" s="1">
        <f ca="1">SUM(OFFSET($A$1,2,2,14,1))</f>
        <v>3496.7792951000001</v>
      </c>
      <c r="D17" s="1">
        <f ca="1">SUM(OFFSET($A$1,2,3,14,1))</f>
        <v>727.7780330999999</v>
      </c>
      <c r="E17" s="1">
        <f ca="1">SUM(OFFSET($A$1,2,4,14,1))</f>
        <v>8247.9369540000007</v>
      </c>
      <c r="F17" s="1">
        <f ca="1">SUM(OFFSET($A$1,2,5,14,1))</f>
        <v>8754.5975700000017</v>
      </c>
      <c r="G17" s="1">
        <f ca="1">SUM(OFFSET($A$1,2,6,14,1))</f>
        <v>3284.400412</v>
      </c>
      <c r="H17" s="1">
        <f ca="1">SUM(OFFSET($A$1,2,7,14,1))</f>
        <v>3492.5522202000002</v>
      </c>
      <c r="I17" s="1">
        <f ca="1">SUM(OFFSET($A$1,2,8,14,1))</f>
        <v>1086.4351786</v>
      </c>
      <c r="J17" s="1">
        <f ca="1">SUM(OFFSET($A$1,2,9,14,1))</f>
        <v>10505.520495999999</v>
      </c>
      <c r="K17" s="1">
        <f ca="1">SUM(OFFSET($A$1,2,10,14,1))</f>
        <v>824.19153439999991</v>
      </c>
      <c r="L17" s="1">
        <f ca="1">SUM(OFFSET($A$1,2,11,14,1))</f>
        <v>981.9645415</v>
      </c>
      <c r="M17" s="1">
        <f ca="1">SUM(OFFSET($A$1,2,12,14,1))</f>
        <v>4677.3867480999997</v>
      </c>
      <c r="N17" s="1">
        <f ca="1">SUM(OFFSET($A$1,2,13,14,1))</f>
        <v>913.03145070000005</v>
      </c>
      <c r="O17" s="1">
        <f ca="1">SUM(OFFSET($A$1,2,14,14,1))</f>
        <v>9687.5655592000003</v>
      </c>
      <c r="P17" s="1">
        <f ca="1">SUM(OFFSET($A$1,16,1,1,14))</f>
        <v>57300.523286299998</v>
      </c>
      <c r="Q17" s="2">
        <f ca="1">SUM(OFFSET($A$1,16,1,1,12))</f>
        <v>46699.926276399994</v>
      </c>
    </row>
    <row r="18" spans="1:17" x14ac:dyDescent="0.2">
      <c r="O18" s="11" t="s">
        <v>59</v>
      </c>
      <c r="P18" s="1">
        <f ca="1">SUM(OFFSET($B$3,0,0,12,12))</f>
        <v>45077.753041999997</v>
      </c>
    </row>
    <row r="19" spans="1:17" x14ac:dyDescent="0.2">
      <c r="A19" s="1" t="s">
        <v>89</v>
      </c>
    </row>
    <row r="20" spans="1:17" x14ac:dyDescent="0.2"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 t="s">
        <v>43</v>
      </c>
      <c r="Q20" s="2" t="s">
        <v>61</v>
      </c>
    </row>
    <row r="21" spans="1:17" x14ac:dyDescent="0.2">
      <c r="A21" s="1">
        <v>1</v>
      </c>
      <c r="B21" s="1">
        <v>44.379019999999997</v>
      </c>
      <c r="C21" s="1">
        <v>25.803650000000001</v>
      </c>
      <c r="D21" s="1">
        <v>18.680109999999999</v>
      </c>
      <c r="E21" s="1">
        <v>57.014400000000002</v>
      </c>
      <c r="F21" s="1">
        <v>42.503979999999999</v>
      </c>
      <c r="G21" s="1">
        <v>1.134863</v>
      </c>
      <c r="H21" s="1">
        <v>4.6316860000000002</v>
      </c>
      <c r="I21" s="1">
        <v>0.35849639999999999</v>
      </c>
      <c r="J21" s="1">
        <v>1.3834420000000001</v>
      </c>
      <c r="K21" s="1">
        <v>0.1022557</v>
      </c>
      <c r="L21" s="1">
        <v>0.3203143</v>
      </c>
      <c r="M21" s="1">
        <v>0.39985969999999998</v>
      </c>
      <c r="N21" s="1">
        <v>2.1317599999999999E-2</v>
      </c>
      <c r="O21" s="1">
        <v>8.0679699999999993E-2</v>
      </c>
      <c r="P21" s="1">
        <f ca="1">SUM(OFFSET($A$19,2,1,1,14))</f>
        <v>196.81407440000004</v>
      </c>
      <c r="Q21" s="2">
        <f ca="1">SUM(OFFSET($A$19,2,1,1,12))</f>
        <v>196.71207710000004</v>
      </c>
    </row>
    <row r="22" spans="1:17" x14ac:dyDescent="0.2">
      <c r="A22" s="1">
        <v>2</v>
      </c>
      <c r="B22" s="1">
        <v>27.280750000000001</v>
      </c>
      <c r="C22" s="1">
        <v>620.82899999999995</v>
      </c>
      <c r="D22" s="1">
        <v>56.297789999999999</v>
      </c>
      <c r="E22" s="1">
        <v>183.98159999999999</v>
      </c>
      <c r="F22" s="1">
        <v>162.56399999999999</v>
      </c>
      <c r="G22" s="1">
        <v>41.515569999999997</v>
      </c>
      <c r="H22" s="1">
        <v>20.53181</v>
      </c>
      <c r="I22" s="1">
        <v>12.19707</v>
      </c>
      <c r="J22" s="1">
        <v>51.202950000000001</v>
      </c>
      <c r="K22" s="1">
        <v>3.9121920000000001</v>
      </c>
      <c r="L22" s="1">
        <v>22.145489999999999</v>
      </c>
      <c r="M22" s="1">
        <v>9.6550879999999992</v>
      </c>
      <c r="N22" s="1">
        <v>0.59694530000000001</v>
      </c>
      <c r="O22" s="1">
        <v>4.0434469999999996</v>
      </c>
      <c r="P22" s="1">
        <f ca="1">SUM(OFFSET($A$19,3,1,1,14))</f>
        <v>1216.7537023</v>
      </c>
      <c r="Q22" s="2">
        <f ca="1">SUM(OFFSET($A$19,3,1,1,12))</f>
        <v>1212.11331</v>
      </c>
    </row>
    <row r="23" spans="1:17" x14ac:dyDescent="0.2">
      <c r="A23" s="1">
        <v>3</v>
      </c>
      <c r="B23" s="1">
        <v>18.51013</v>
      </c>
      <c r="C23" s="1">
        <v>66.708820000000003</v>
      </c>
      <c r="D23" s="1">
        <v>115.2527</v>
      </c>
      <c r="E23" s="1">
        <v>205.76669999999999</v>
      </c>
      <c r="F23" s="1">
        <v>92.929580000000001</v>
      </c>
      <c r="G23" s="1">
        <v>20.707000000000001</v>
      </c>
      <c r="H23" s="1">
        <v>49.440829999999998</v>
      </c>
      <c r="I23" s="1">
        <v>12.034840000000001</v>
      </c>
      <c r="J23" s="1">
        <v>77.194230000000005</v>
      </c>
      <c r="K23" s="1">
        <v>4.2391189999999996</v>
      </c>
      <c r="L23" s="1">
        <v>13.040480000000001</v>
      </c>
      <c r="M23" s="1">
        <v>11.7319</v>
      </c>
      <c r="N23" s="1">
        <v>0.36271930000000002</v>
      </c>
      <c r="O23" s="1">
        <v>2.476105</v>
      </c>
      <c r="P23" s="1">
        <f ca="1">SUM(OFFSET($A$19,4,1,1,14))</f>
        <v>690.39515329999995</v>
      </c>
      <c r="Q23" s="2">
        <f ca="1">SUM(OFFSET($A$19,4,1,1,12))</f>
        <v>687.55632900000001</v>
      </c>
    </row>
    <row r="24" spans="1:17" x14ac:dyDescent="0.2">
      <c r="A24" s="1">
        <v>4</v>
      </c>
      <c r="B24" s="1">
        <v>51.631270000000001</v>
      </c>
      <c r="C24" s="1">
        <v>162.1798</v>
      </c>
      <c r="D24" s="1">
        <v>131.63069999999999</v>
      </c>
      <c r="E24" s="1">
        <v>2282.3290000000002</v>
      </c>
      <c r="F24" s="1">
        <v>275.46379999999999</v>
      </c>
      <c r="G24" s="1">
        <v>92.604460000000003</v>
      </c>
      <c r="H24" s="1">
        <v>291.08800000000002</v>
      </c>
      <c r="I24" s="1">
        <v>129.00280000000001</v>
      </c>
      <c r="J24" s="1">
        <v>295.24430000000001</v>
      </c>
      <c r="K24" s="1">
        <v>48.230640000000001</v>
      </c>
      <c r="L24" s="1">
        <v>23.575040000000001</v>
      </c>
      <c r="M24" s="1">
        <v>65.850470000000001</v>
      </c>
      <c r="N24" s="1">
        <v>2.2736879999999999</v>
      </c>
      <c r="O24" s="1">
        <v>31.086020000000001</v>
      </c>
      <c r="P24" s="1">
        <f ca="1">SUM(OFFSET($A$19,5,1,1,14))</f>
        <v>3882.189988000001</v>
      </c>
      <c r="Q24" s="2">
        <f ca="1">SUM(OFFSET($A$19,5,1,1,12))</f>
        <v>3848.8302800000006</v>
      </c>
    </row>
    <row r="25" spans="1:17" x14ac:dyDescent="0.2">
      <c r="A25" s="1">
        <v>5</v>
      </c>
      <c r="B25" s="1">
        <v>40.707799999999999</v>
      </c>
      <c r="C25" s="1">
        <v>142.62569999999999</v>
      </c>
      <c r="D25" s="1">
        <v>62.041980000000002</v>
      </c>
      <c r="E25" s="1">
        <v>274.10230000000001</v>
      </c>
      <c r="F25" s="1">
        <v>1721.4280000000001</v>
      </c>
      <c r="G25" s="1">
        <v>366.6739</v>
      </c>
      <c r="H25" s="1">
        <v>172.2944</v>
      </c>
      <c r="I25" s="1">
        <v>38.749429999999997</v>
      </c>
      <c r="J25" s="1">
        <v>497.43</v>
      </c>
      <c r="K25" s="1">
        <v>37.199219999999997</v>
      </c>
      <c r="L25" s="1">
        <v>87.990830000000003</v>
      </c>
      <c r="M25" s="1">
        <v>102.2787</v>
      </c>
      <c r="N25" s="1">
        <v>21.833770000000001</v>
      </c>
      <c r="O25" s="1">
        <v>63.740749999999998</v>
      </c>
      <c r="P25" s="1">
        <f ca="1">SUM(OFFSET($A$19,6,1,1,14))</f>
        <v>3629.0967799999994</v>
      </c>
      <c r="Q25" s="2">
        <f ca="1">SUM(OFFSET($A$19,6,1,1,12))</f>
        <v>3543.5222599999993</v>
      </c>
    </row>
    <row r="26" spans="1:17" x14ac:dyDescent="0.2">
      <c r="A26" s="1">
        <v>6</v>
      </c>
      <c r="B26" s="1">
        <v>1.0963849999999999</v>
      </c>
      <c r="C26" s="1">
        <v>40.010710000000003</v>
      </c>
      <c r="D26" s="1">
        <v>15.14804</v>
      </c>
      <c r="E26" s="1">
        <v>89.087069999999997</v>
      </c>
      <c r="F26" s="1">
        <v>355.61669999999998</v>
      </c>
      <c r="G26" s="1">
        <v>414.15010000000001</v>
      </c>
      <c r="H26" s="1">
        <v>11.979520000000001</v>
      </c>
      <c r="I26" s="1">
        <v>2.4222980000000001</v>
      </c>
      <c r="J26" s="1">
        <v>64.286370000000005</v>
      </c>
      <c r="K26" s="1">
        <v>4.0735929999999998</v>
      </c>
      <c r="L26" s="1">
        <v>35.379359999999998</v>
      </c>
      <c r="M26" s="1">
        <v>18.701699999999999</v>
      </c>
      <c r="N26" s="1">
        <v>2.71922</v>
      </c>
      <c r="O26" s="1">
        <v>11.57605</v>
      </c>
      <c r="P26" s="1">
        <f ca="1">SUM(OFFSET($A$19,7,1,1,14))</f>
        <v>1066.2471159999998</v>
      </c>
      <c r="Q26" s="2">
        <f ca="1">SUM(OFFSET($A$19,7,1,1,12))</f>
        <v>1051.9518459999999</v>
      </c>
    </row>
    <row r="27" spans="1:17" x14ac:dyDescent="0.2">
      <c r="A27" s="1">
        <v>7</v>
      </c>
      <c r="B27" s="1">
        <v>5.1114230000000003</v>
      </c>
      <c r="C27" s="1">
        <v>21.38101</v>
      </c>
      <c r="D27" s="1">
        <v>47.98874</v>
      </c>
      <c r="E27" s="1">
        <v>342.02269999999999</v>
      </c>
      <c r="F27" s="1">
        <v>183.029</v>
      </c>
      <c r="G27" s="1">
        <v>14.246560000000001</v>
      </c>
      <c r="H27" s="1">
        <v>462.14350000000002</v>
      </c>
      <c r="I27" s="1">
        <v>57.8416</v>
      </c>
      <c r="J27" s="1">
        <v>50.320900000000002</v>
      </c>
      <c r="K27" s="1">
        <v>13.60324</v>
      </c>
      <c r="L27" s="1">
        <v>2.3719540000000001</v>
      </c>
      <c r="M27" s="1">
        <v>14.21824</v>
      </c>
      <c r="N27" s="1">
        <v>0.15564040000000001</v>
      </c>
      <c r="O27" s="1">
        <v>1.690715</v>
      </c>
      <c r="P27" s="1">
        <f ca="1">SUM(OFFSET($A$19,8,1,1,14))</f>
        <v>1216.1252223999998</v>
      </c>
      <c r="Q27" s="2">
        <f ca="1">SUM(OFFSET($A$19,8,1,1,12))</f>
        <v>1214.2788669999998</v>
      </c>
    </row>
    <row r="28" spans="1:17" x14ac:dyDescent="0.2">
      <c r="A28" s="1">
        <v>8</v>
      </c>
      <c r="B28" s="1">
        <v>0.31851810000000003</v>
      </c>
      <c r="C28" s="1">
        <v>11.41844</v>
      </c>
      <c r="D28" s="1">
        <v>10.25473</v>
      </c>
      <c r="E28" s="1">
        <v>124.952</v>
      </c>
      <c r="F28" s="1">
        <v>35.331180000000003</v>
      </c>
      <c r="G28" s="1">
        <v>2.1691660000000001</v>
      </c>
      <c r="H28" s="1">
        <v>46.602849999999997</v>
      </c>
      <c r="I28" s="1">
        <v>47.045780000000001</v>
      </c>
      <c r="J28" s="1">
        <v>37.143250000000002</v>
      </c>
      <c r="K28" s="1">
        <v>4.4778820000000001</v>
      </c>
      <c r="L28" s="1">
        <v>0.60753919999999995</v>
      </c>
      <c r="M28" s="1">
        <v>8.113804</v>
      </c>
      <c r="N28" s="1">
        <v>6.6477800000000004E-2</v>
      </c>
      <c r="O28" s="1">
        <v>0.76919320000000002</v>
      </c>
      <c r="P28" s="1">
        <f ca="1">SUM(OFFSET($A$19,9,1,1,14))</f>
        <v>329.27081030000005</v>
      </c>
      <c r="Q28" s="2">
        <f ca="1">SUM(OFFSET($A$19,9,1,1,12))</f>
        <v>328.43513930000006</v>
      </c>
    </row>
    <row r="29" spans="1:17" x14ac:dyDescent="0.2">
      <c r="A29" s="1">
        <v>9</v>
      </c>
      <c r="B29" s="1">
        <v>1.3344879999999999</v>
      </c>
      <c r="C29" s="1">
        <v>48.142110000000002</v>
      </c>
      <c r="D29" s="1">
        <v>56.207540000000002</v>
      </c>
      <c r="E29" s="1">
        <v>290.31569999999999</v>
      </c>
      <c r="F29" s="1">
        <v>463.73970000000003</v>
      </c>
      <c r="G29" s="1">
        <v>63.681379999999997</v>
      </c>
      <c r="H29" s="1">
        <v>51.037469999999999</v>
      </c>
      <c r="I29" s="1">
        <v>46.038350000000001</v>
      </c>
      <c r="J29" s="1">
        <v>2377.9720000000002</v>
      </c>
      <c r="K29" s="1">
        <v>82.509770000000003</v>
      </c>
      <c r="L29" s="1">
        <v>27.2807</v>
      </c>
      <c r="M29" s="1">
        <v>223.92769999999999</v>
      </c>
      <c r="N29" s="1">
        <v>5.4062080000000003</v>
      </c>
      <c r="O29" s="1">
        <v>91.51867</v>
      </c>
      <c r="P29" s="1">
        <f ca="1">SUM(OFFSET($A$19,10,1,1,14))</f>
        <v>3829.1117860000004</v>
      </c>
      <c r="Q29" s="2">
        <f ca="1">SUM(OFFSET($A$19,10,1,1,12))</f>
        <v>3732.1869080000006</v>
      </c>
    </row>
    <row r="30" spans="1:17" x14ac:dyDescent="0.2">
      <c r="A30" s="1">
        <v>10</v>
      </c>
      <c r="B30" s="1">
        <v>8.5803299999999999E-2</v>
      </c>
      <c r="C30" s="1">
        <v>3.4422959999999998</v>
      </c>
      <c r="D30" s="1">
        <v>2.8581180000000002</v>
      </c>
      <c r="E30" s="1">
        <v>48.239640000000001</v>
      </c>
      <c r="F30" s="1">
        <v>30.282129999999999</v>
      </c>
      <c r="G30" s="1">
        <v>3.6062660000000002</v>
      </c>
      <c r="H30" s="1">
        <v>11.11345</v>
      </c>
      <c r="I30" s="1">
        <v>4.7931590000000002</v>
      </c>
      <c r="J30" s="1">
        <v>65.840670000000003</v>
      </c>
      <c r="K30" s="1">
        <v>33.176940000000002</v>
      </c>
      <c r="L30" s="1">
        <v>0.82584849999999999</v>
      </c>
      <c r="M30" s="1">
        <v>31.815940000000001</v>
      </c>
      <c r="N30" s="1">
        <v>0.12269389999999999</v>
      </c>
      <c r="O30" s="1">
        <v>6.2124560000000004</v>
      </c>
      <c r="P30" s="1">
        <f ca="1">SUM(OFFSET($A$19,11,1,1,14))</f>
        <v>242.41541070000002</v>
      </c>
      <c r="Q30" s="2">
        <f ca="1">SUM(OFFSET($A$19,11,1,1,12))</f>
        <v>236.08026080000002</v>
      </c>
    </row>
    <row r="31" spans="1:17" x14ac:dyDescent="0.2">
      <c r="A31" s="1">
        <v>11</v>
      </c>
      <c r="B31" s="1">
        <v>0.27337159999999999</v>
      </c>
      <c r="C31" s="1">
        <v>19.974530000000001</v>
      </c>
      <c r="D31" s="1">
        <v>9.8289209999999994</v>
      </c>
      <c r="E31" s="1">
        <v>21.252520000000001</v>
      </c>
      <c r="F31" s="1">
        <v>90.846739999999997</v>
      </c>
      <c r="G31" s="1">
        <v>28.610900000000001</v>
      </c>
      <c r="H31" s="1">
        <v>1.8776649999999999</v>
      </c>
      <c r="I31" s="1">
        <v>0.66010239999999998</v>
      </c>
      <c r="J31" s="1">
        <v>25.170929999999998</v>
      </c>
      <c r="K31" s="1">
        <v>0.74885930000000001</v>
      </c>
      <c r="L31" s="1">
        <v>78.764300000000006</v>
      </c>
      <c r="M31" s="1">
        <v>10.726559999999999</v>
      </c>
      <c r="N31" s="1">
        <v>8.2561309999999999</v>
      </c>
      <c r="O31" s="1">
        <v>47.848129999999998</v>
      </c>
      <c r="P31" s="1">
        <f ca="1">SUM(OFFSET($A$19,12,1,1,14))</f>
        <v>344.83966029999999</v>
      </c>
      <c r="Q31" s="2">
        <f ca="1">SUM(OFFSET($A$19,12,1,1,12))</f>
        <v>288.73539929999998</v>
      </c>
    </row>
    <row r="32" spans="1:17" x14ac:dyDescent="0.2">
      <c r="A32" s="1">
        <v>12</v>
      </c>
      <c r="B32" s="1">
        <v>0.39372040000000003</v>
      </c>
      <c r="C32" s="1">
        <v>9.0580649999999991</v>
      </c>
      <c r="D32" s="1">
        <v>13.74948</v>
      </c>
      <c r="E32" s="1">
        <v>68.499889999999994</v>
      </c>
      <c r="F32" s="1">
        <v>96.989720000000005</v>
      </c>
      <c r="G32" s="1">
        <v>17.110340000000001</v>
      </c>
      <c r="H32" s="1">
        <v>13.398630000000001</v>
      </c>
      <c r="I32" s="1">
        <v>8.8411410000000004</v>
      </c>
      <c r="J32" s="1">
        <v>210.94659999999999</v>
      </c>
      <c r="K32" s="1">
        <v>31.647189999999998</v>
      </c>
      <c r="L32" s="1">
        <v>10.52983</v>
      </c>
      <c r="M32" s="1">
        <v>584.21159999999998</v>
      </c>
      <c r="N32" s="1">
        <v>8.8372340000000005</v>
      </c>
      <c r="O32" s="1">
        <v>241.8974</v>
      </c>
      <c r="P32" s="1">
        <f ca="1">SUM(OFFSET($A$19,13,1,1,14))</f>
        <v>1316.1108404000001</v>
      </c>
      <c r="Q32" s="2">
        <f ca="1">SUM(OFFSET($A$19,13,1,1,12))</f>
        <v>1065.3762064</v>
      </c>
    </row>
    <row r="33" spans="1:20" x14ac:dyDescent="0.2">
      <c r="A33" s="1">
        <v>13</v>
      </c>
      <c r="B33" s="1">
        <v>1.6624699999999999E-2</v>
      </c>
      <c r="C33" s="1">
        <v>0.52576330000000004</v>
      </c>
      <c r="D33" s="1">
        <v>0.40218470000000001</v>
      </c>
      <c r="E33" s="1">
        <v>1.7396640000000001</v>
      </c>
      <c r="F33" s="1">
        <v>16.491479999999999</v>
      </c>
      <c r="G33" s="1">
        <v>2.1815570000000002</v>
      </c>
      <c r="H33" s="1">
        <v>0.11896619999999999</v>
      </c>
      <c r="I33" s="1">
        <v>6.1512299999999999E-2</v>
      </c>
      <c r="J33" s="1">
        <v>4.5566380000000004</v>
      </c>
      <c r="K33" s="1">
        <v>0.12208629999999999</v>
      </c>
      <c r="L33" s="1">
        <v>7.5919660000000002</v>
      </c>
      <c r="M33" s="1">
        <v>8.6416620000000002</v>
      </c>
      <c r="N33" s="1">
        <v>49.785789999999999</v>
      </c>
      <c r="O33" s="1">
        <v>160.02119999999999</v>
      </c>
      <c r="P33" s="1">
        <f ca="1">SUM(OFFSET($A$19,14,1,1,14))</f>
        <v>252.25709449999999</v>
      </c>
      <c r="Q33" s="2">
        <f ca="1">SUM(OFFSET($A$19,14,1,1,12))</f>
        <v>42.450104499999995</v>
      </c>
    </row>
    <row r="34" spans="1:20" x14ac:dyDescent="0.2">
      <c r="A34" s="1">
        <v>14</v>
      </c>
      <c r="B34" s="1">
        <v>7.7598E-2</v>
      </c>
      <c r="C34" s="1">
        <v>3.9745140000000001</v>
      </c>
      <c r="D34" s="1">
        <v>2.6991589999999999</v>
      </c>
      <c r="E34" s="1">
        <v>31.568819999999999</v>
      </c>
      <c r="F34" s="1">
        <v>58.960880000000003</v>
      </c>
      <c r="G34" s="1">
        <v>8.9438779999999998</v>
      </c>
      <c r="H34" s="1">
        <v>1.529614</v>
      </c>
      <c r="I34" s="1">
        <v>0.76641649999999995</v>
      </c>
      <c r="J34" s="1">
        <v>85.249579999999995</v>
      </c>
      <c r="K34" s="1">
        <v>5.8535849999999998</v>
      </c>
      <c r="L34" s="1">
        <v>42.598500000000001</v>
      </c>
      <c r="M34" s="1">
        <v>236.93219999999999</v>
      </c>
      <c r="N34" s="1">
        <v>155.76439999999999</v>
      </c>
      <c r="O34" s="1">
        <v>2407.127</v>
      </c>
      <c r="P34" s="1">
        <f ca="1">SUM(OFFSET($A$19,15,1,1,14))</f>
        <v>3042.0461445000001</v>
      </c>
      <c r="Q34" s="2">
        <f ca="1">SUM(OFFSET($A$19,15,1,1,12))</f>
        <v>479.15474449999999</v>
      </c>
    </row>
    <row r="35" spans="1:20" x14ac:dyDescent="0.2">
      <c r="A35" s="1" t="s">
        <v>43</v>
      </c>
      <c r="B35" s="1">
        <f ca="1">SUM(OFFSET($A$19,2,1,14,1))</f>
        <v>191.2169021</v>
      </c>
      <c r="C35" s="1">
        <f ca="1">SUM(OFFSET($A$19,2,2,14,1))</f>
        <v>1176.0744082999997</v>
      </c>
      <c r="D35" s="1">
        <f ca="1">SUM(OFFSET($A$19,2,3,14,1))</f>
        <v>543.04019270000003</v>
      </c>
      <c r="E35" s="1">
        <f ca="1">SUM(OFFSET($A$19,2,4,14,1))</f>
        <v>4020.8720039999998</v>
      </c>
      <c r="F35" s="1">
        <f ca="1">SUM(OFFSET($A$19,2,5,14,1))</f>
        <v>3626.1768900000006</v>
      </c>
      <c r="G35" s="1">
        <f ca="1">SUM(OFFSET($A$19,2,6,14,1))</f>
        <v>1077.3359400000002</v>
      </c>
      <c r="H35" s="1">
        <f ca="1">SUM(OFFSET($A$19,2,7,14,1))</f>
        <v>1137.7883912</v>
      </c>
      <c r="I35" s="1">
        <f ca="1">SUM(OFFSET($A$19,2,8,14,1))</f>
        <v>360.81299560000002</v>
      </c>
      <c r="J35" s="1">
        <f ca="1">SUM(OFFSET($A$19,2,9,14,1))</f>
        <v>3843.9418600000004</v>
      </c>
      <c r="K35" s="1">
        <f ca="1">SUM(OFFSET($A$19,2,10,14,1))</f>
        <v>269.8965723</v>
      </c>
      <c r="L35" s="1">
        <f ca="1">SUM(OFFSET($A$19,2,11,14,1))</f>
        <v>353.02215200000001</v>
      </c>
      <c r="M35" s="1">
        <f ca="1">SUM(OFFSET($A$19,2,12,14,1))</f>
        <v>1327.2054237</v>
      </c>
      <c r="N35" s="1">
        <f ca="1">SUM(OFFSET($A$19,2,13,14,1))</f>
        <v>256.20223529999998</v>
      </c>
      <c r="O35" s="1">
        <f ca="1">SUM(OFFSET($A$19,2,14,14,1))</f>
        <v>3070.0878158999999</v>
      </c>
      <c r="P35" s="1">
        <f ca="1">SUM(OFFSET($A$19,16,1,1,14))</f>
        <v>21253.673783099999</v>
      </c>
      <c r="Q35" s="2">
        <f ca="1">SUM(OFFSET($A$19,16,1,1,12))</f>
        <v>17927.383731900001</v>
      </c>
    </row>
    <row r="36" spans="1:20" x14ac:dyDescent="0.2">
      <c r="O36" s="11" t="s">
        <v>59</v>
      </c>
      <c r="P36" s="1">
        <f ca="1">SUM(OFFSET($B$21,0,0,12,12))</f>
        <v>17405.778882899998</v>
      </c>
    </row>
    <row r="37" spans="1:20" x14ac:dyDescent="0.2">
      <c r="A37" s="1" t="s">
        <v>91</v>
      </c>
    </row>
    <row r="38" spans="1:20" x14ac:dyDescent="0.2">
      <c r="B38" s="1">
        <v>1</v>
      </c>
      <c r="C38" s="1">
        <v>2</v>
      </c>
      <c r="D38" s="1">
        <v>3</v>
      </c>
      <c r="E38" s="1">
        <v>4</v>
      </c>
      <c r="F38" s="1">
        <v>5</v>
      </c>
      <c r="G38" s="1">
        <v>6</v>
      </c>
      <c r="H38" s="1">
        <v>7</v>
      </c>
      <c r="I38" s="1">
        <v>8</v>
      </c>
      <c r="J38" s="1">
        <v>9</v>
      </c>
      <c r="K38" s="1">
        <v>10</v>
      </c>
      <c r="L38" s="1">
        <v>11</v>
      </c>
      <c r="M38" s="1">
        <v>12</v>
      </c>
      <c r="N38" s="1">
        <v>13</v>
      </c>
      <c r="O38" s="1">
        <v>14</v>
      </c>
      <c r="P38" s="1" t="s">
        <v>43</v>
      </c>
      <c r="Q38" s="2" t="s">
        <v>61</v>
      </c>
    </row>
    <row r="39" spans="1:20" x14ac:dyDescent="0.2">
      <c r="A39" s="1">
        <v>1</v>
      </c>
      <c r="B39" s="1">
        <v>16.071490000000001</v>
      </c>
      <c r="C39" s="1">
        <v>6.5743239999999998</v>
      </c>
      <c r="D39" s="1">
        <v>11.505979999999999</v>
      </c>
      <c r="E39" s="1">
        <v>17.30132</v>
      </c>
      <c r="F39" s="1">
        <v>12.12839</v>
      </c>
      <c r="G39" s="1">
        <v>0.32403579999999998</v>
      </c>
      <c r="H39" s="1">
        <v>1.5639069999999999</v>
      </c>
      <c r="I39" s="1">
        <v>9.6401799999999996E-2</v>
      </c>
      <c r="J39" s="1">
        <v>0.42334149999999998</v>
      </c>
      <c r="K39" s="1">
        <v>3.1350000000000003E-2</v>
      </c>
      <c r="L39" s="1">
        <v>9.16516E-2</v>
      </c>
      <c r="M39" s="1">
        <v>0.10903259999999999</v>
      </c>
      <c r="N39" s="1">
        <v>6.4373E-3</v>
      </c>
      <c r="O39" s="1">
        <v>2.5785499999999999E-2</v>
      </c>
      <c r="P39" s="1">
        <f ca="1">SUM(OFFSET($A$37,2,1,1,14))</f>
        <v>66.253447100000002</v>
      </c>
      <c r="Q39" s="2">
        <f ca="1">SUM(OFFSET($A$37,2,1,1,12))</f>
        <v>66.221224300000003</v>
      </c>
    </row>
    <row r="40" spans="1:20" x14ac:dyDescent="0.2">
      <c r="A40" s="1">
        <v>2</v>
      </c>
      <c r="B40" s="1">
        <v>6.0031639999999999</v>
      </c>
      <c r="C40" s="1">
        <v>221.16149999999999</v>
      </c>
      <c r="D40" s="1">
        <v>29.550699999999999</v>
      </c>
      <c r="E40" s="1">
        <v>48.929279999999999</v>
      </c>
      <c r="F40" s="1">
        <v>39.522669999999998</v>
      </c>
      <c r="G40" s="1">
        <v>10.38988</v>
      </c>
      <c r="H40" s="1">
        <v>5.7289849999999998</v>
      </c>
      <c r="I40" s="1">
        <v>3.1764100000000002</v>
      </c>
      <c r="J40" s="1">
        <v>13.689859999999999</v>
      </c>
      <c r="K40" s="1">
        <v>1.106552</v>
      </c>
      <c r="L40" s="1">
        <v>5.9114779999999998</v>
      </c>
      <c r="M40" s="1">
        <v>2.3613040000000001</v>
      </c>
      <c r="N40" s="1">
        <v>0.1702119</v>
      </c>
      <c r="O40" s="1">
        <v>1.2061010000000001</v>
      </c>
      <c r="P40" s="1">
        <f ca="1">SUM(OFFSET($A$37,3,1,1,14))</f>
        <v>388.90809590000003</v>
      </c>
      <c r="Q40" s="2">
        <f ca="1">SUM(OFFSET($A$37,3,1,1,12))</f>
        <v>387.53178300000002</v>
      </c>
    </row>
    <row r="41" spans="1:20" x14ac:dyDescent="0.2">
      <c r="A41" s="1">
        <v>3</v>
      </c>
      <c r="B41" s="1">
        <v>4.3998499999999998</v>
      </c>
      <c r="C41" s="1">
        <v>15.401400000000001</v>
      </c>
      <c r="D41" s="1">
        <v>40.650730000000003</v>
      </c>
      <c r="E41" s="1">
        <v>46.36692</v>
      </c>
      <c r="F41" s="1">
        <v>21.861979999999999</v>
      </c>
      <c r="G41" s="1">
        <v>5.3164980000000002</v>
      </c>
      <c r="H41" s="1">
        <v>11.86725</v>
      </c>
      <c r="I41" s="1">
        <v>3.1850390000000002</v>
      </c>
      <c r="J41" s="1">
        <v>20.889679999999998</v>
      </c>
      <c r="K41" s="1">
        <v>1.2695510000000001</v>
      </c>
      <c r="L41" s="1">
        <v>3.8153679999999999</v>
      </c>
      <c r="M41" s="1">
        <v>3.0571429999999999</v>
      </c>
      <c r="N41" s="1">
        <v>0.11334130000000001</v>
      </c>
      <c r="O41" s="1">
        <v>0.80477460000000001</v>
      </c>
      <c r="P41" s="1">
        <f ca="1">SUM(OFFSET($A$37,4,1,1,14))</f>
        <v>178.99952490000001</v>
      </c>
      <c r="Q41" s="2">
        <f ca="1">SUM(OFFSET($A$37,4,1,1,12))</f>
        <v>178.08140900000001</v>
      </c>
    </row>
    <row r="42" spans="1:20" x14ac:dyDescent="0.2">
      <c r="A42" s="1">
        <v>4</v>
      </c>
      <c r="B42" s="1">
        <v>13.071529999999999</v>
      </c>
      <c r="C42" s="1">
        <v>38.730559999999997</v>
      </c>
      <c r="D42" s="1">
        <v>29.679729999999999</v>
      </c>
      <c r="E42" s="1">
        <v>837.97209999999995</v>
      </c>
      <c r="F42" s="1">
        <v>63.656750000000002</v>
      </c>
      <c r="G42" s="1">
        <v>24.385619999999999</v>
      </c>
      <c r="H42" s="1">
        <v>68.86</v>
      </c>
      <c r="I42" s="1">
        <v>33.603050000000003</v>
      </c>
      <c r="J42" s="1">
        <v>80.304720000000003</v>
      </c>
      <c r="K42" s="1">
        <v>14.223739999999999</v>
      </c>
      <c r="L42" s="1">
        <v>7.0905339999999999</v>
      </c>
      <c r="M42" s="1">
        <v>17.559349999999998</v>
      </c>
      <c r="N42" s="1">
        <v>0.72525510000000004</v>
      </c>
      <c r="O42" s="1">
        <v>10.24309</v>
      </c>
      <c r="P42" s="1">
        <f ca="1">SUM(OFFSET($A$37,5,1,1,14))</f>
        <v>1240.1060290999997</v>
      </c>
      <c r="Q42" s="2">
        <f ca="1">SUM(OFFSET($A$37,5,1,1,12))</f>
        <v>1229.1376839999998</v>
      </c>
    </row>
    <row r="43" spans="1:20" x14ac:dyDescent="0.2">
      <c r="A43" s="1">
        <v>5</v>
      </c>
      <c r="B43" s="1">
        <v>10.24353</v>
      </c>
      <c r="C43" s="1">
        <v>32.722259999999999</v>
      </c>
      <c r="D43" s="1">
        <v>30.635719999999999</v>
      </c>
      <c r="E43" s="1">
        <v>66.000489999999999</v>
      </c>
      <c r="F43" s="1">
        <v>628.38840000000005</v>
      </c>
      <c r="G43" s="1">
        <v>85.880359999999996</v>
      </c>
      <c r="H43" s="1">
        <v>41.158749999999998</v>
      </c>
      <c r="I43" s="1">
        <v>9.1836439999999993</v>
      </c>
      <c r="J43" s="1">
        <v>112.9147</v>
      </c>
      <c r="K43" s="1">
        <v>8.9487830000000006</v>
      </c>
      <c r="L43" s="1">
        <v>21.166830000000001</v>
      </c>
      <c r="M43" s="1">
        <v>22.181149999999999</v>
      </c>
      <c r="N43" s="1">
        <v>5.705692</v>
      </c>
      <c r="O43" s="1">
        <v>17.189789999999999</v>
      </c>
      <c r="P43" s="1">
        <f ca="1">SUM(OFFSET($A$37,6,1,1,14))</f>
        <v>1092.3200989999998</v>
      </c>
      <c r="Q43" s="2">
        <f ca="1">SUM(OFFSET($A$37,6,1,1,12))</f>
        <v>1069.4246169999999</v>
      </c>
    </row>
    <row r="44" spans="1:20" x14ac:dyDescent="0.2">
      <c r="A44" s="1">
        <v>6</v>
      </c>
      <c r="B44" s="1">
        <v>0.29212440000000001</v>
      </c>
      <c r="C44" s="1">
        <v>10.18084</v>
      </c>
      <c r="D44" s="1">
        <v>9.2644739999999999</v>
      </c>
      <c r="E44" s="1">
        <v>27.156659999999999</v>
      </c>
      <c r="F44" s="1">
        <v>89.090530000000001</v>
      </c>
      <c r="G44" s="1">
        <v>147.44900000000001</v>
      </c>
      <c r="H44" s="1">
        <v>4.130738</v>
      </c>
      <c r="I44" s="1">
        <v>0.57215000000000005</v>
      </c>
      <c r="J44" s="1">
        <v>16.458870000000001</v>
      </c>
      <c r="K44" s="1">
        <v>0.99843899999999997</v>
      </c>
      <c r="L44" s="1">
        <v>7.7370590000000004</v>
      </c>
      <c r="M44" s="1">
        <v>4.0451750000000004</v>
      </c>
      <c r="N44" s="1">
        <v>0.6369707</v>
      </c>
      <c r="O44" s="1">
        <v>2.9143309999999998</v>
      </c>
      <c r="P44" s="1">
        <f ca="1">SUM(OFFSET($A$37,7,1,1,14))</f>
        <v>320.92736110000004</v>
      </c>
      <c r="Q44" s="2">
        <f ca="1">SUM(OFFSET($A$37,7,1,1,12))</f>
        <v>317.37605940000003</v>
      </c>
      <c r="T44" s="2"/>
    </row>
    <row r="45" spans="1:20" x14ac:dyDescent="0.2">
      <c r="A45" s="1">
        <v>7</v>
      </c>
      <c r="B45" s="1">
        <v>1.1268940000000001</v>
      </c>
      <c r="C45" s="1">
        <v>5.0954949999999997</v>
      </c>
      <c r="D45" s="1">
        <v>26.005839999999999</v>
      </c>
      <c r="E45" s="1">
        <v>84.669269999999997</v>
      </c>
      <c r="F45" s="1">
        <v>51.427950000000003</v>
      </c>
      <c r="G45" s="1">
        <v>3.3630939999999998</v>
      </c>
      <c r="H45" s="1">
        <v>182.2183</v>
      </c>
      <c r="I45" s="1">
        <v>11.46241</v>
      </c>
      <c r="J45" s="1">
        <v>11.936170000000001</v>
      </c>
      <c r="K45" s="1">
        <v>3.059968</v>
      </c>
      <c r="L45" s="1">
        <v>0.56622059999999996</v>
      </c>
      <c r="M45" s="1">
        <v>3.0394160000000001</v>
      </c>
      <c r="N45" s="1">
        <v>3.9799599999999997E-2</v>
      </c>
      <c r="O45" s="1">
        <v>0.43478109999999998</v>
      </c>
      <c r="P45" s="1">
        <f ca="1">SUM(OFFSET($A$37,8,1,1,14))</f>
        <v>384.4456083</v>
      </c>
      <c r="Q45" s="2">
        <f ca="1">SUM(OFFSET($A$37,8,1,1,12))</f>
        <v>383.97102760000001</v>
      </c>
      <c r="T45" s="2"/>
    </row>
    <row r="46" spans="1:20" x14ac:dyDescent="0.2">
      <c r="A46" s="1">
        <v>8</v>
      </c>
      <c r="B46" s="1">
        <v>9.2389600000000002E-2</v>
      </c>
      <c r="C46" s="1">
        <v>3.245247</v>
      </c>
      <c r="D46" s="1">
        <v>6.7887950000000004</v>
      </c>
      <c r="E46" s="1">
        <v>37.469650000000001</v>
      </c>
      <c r="F46" s="1">
        <v>11.343030000000001</v>
      </c>
      <c r="G46" s="1">
        <v>0.57953169999999998</v>
      </c>
      <c r="H46" s="1">
        <v>15.104369999999999</v>
      </c>
      <c r="I46" s="1">
        <v>16.866810000000001</v>
      </c>
      <c r="J46" s="1">
        <v>9.5980720000000002</v>
      </c>
      <c r="K46" s="1">
        <v>1.0954010000000001</v>
      </c>
      <c r="L46" s="1">
        <v>0.1694203</v>
      </c>
      <c r="M46" s="1">
        <v>1.887748</v>
      </c>
      <c r="N46" s="1">
        <v>1.9736099999999999E-2</v>
      </c>
      <c r="O46" s="1">
        <v>0.218393</v>
      </c>
      <c r="P46" s="1">
        <f ca="1">SUM(OFFSET($A$37,9,1,1,14))</f>
        <v>104.4785937</v>
      </c>
      <c r="Q46" s="2">
        <f ca="1">SUM(OFFSET($A$37,9,1,1,12))</f>
        <v>104.2404646</v>
      </c>
      <c r="T46" s="2"/>
    </row>
    <row r="47" spans="1:20" x14ac:dyDescent="0.2">
      <c r="A47" s="1">
        <v>9</v>
      </c>
      <c r="B47" s="1">
        <v>0.37543660000000001</v>
      </c>
      <c r="C47" s="1">
        <v>13.050039999999999</v>
      </c>
      <c r="D47" s="1">
        <v>35.953409999999998</v>
      </c>
      <c r="E47" s="1">
        <v>89.981380000000001</v>
      </c>
      <c r="F47" s="1">
        <v>135.608</v>
      </c>
      <c r="G47" s="1">
        <v>15.825559999999999</v>
      </c>
      <c r="H47" s="1">
        <v>16.370010000000001</v>
      </c>
      <c r="I47" s="1">
        <v>9.7704769999999996</v>
      </c>
      <c r="J47" s="1">
        <v>894.45270000000005</v>
      </c>
      <c r="K47" s="1">
        <v>17.152010000000001</v>
      </c>
      <c r="L47" s="1">
        <v>6.3494979999999996</v>
      </c>
      <c r="M47" s="1">
        <v>46.223880000000001</v>
      </c>
      <c r="N47" s="1">
        <v>1.3199609999999999</v>
      </c>
      <c r="O47" s="1">
        <v>20.983709999999999</v>
      </c>
      <c r="P47" s="1">
        <f ca="1">SUM(OFFSET($A$37,10,1,1,14))</f>
        <v>1303.4160726</v>
      </c>
      <c r="Q47" s="2">
        <f ca="1">SUM(OFFSET($A$37,10,1,1,12))</f>
        <v>1281.1124016000001</v>
      </c>
      <c r="T47" s="2"/>
    </row>
    <row r="48" spans="1:20" x14ac:dyDescent="0.2">
      <c r="A48" s="1">
        <v>10</v>
      </c>
      <c r="B48" s="1">
        <v>2.845E-2</v>
      </c>
      <c r="C48" s="1">
        <v>1.067858</v>
      </c>
      <c r="D48" s="1">
        <v>2.0679400000000001</v>
      </c>
      <c r="E48" s="1">
        <v>16.57038</v>
      </c>
      <c r="F48" s="1">
        <v>10.22885</v>
      </c>
      <c r="G48" s="1">
        <v>1.0430429999999999</v>
      </c>
      <c r="H48" s="1">
        <v>4.3309540000000002</v>
      </c>
      <c r="I48" s="1">
        <v>1.141365</v>
      </c>
      <c r="J48" s="1">
        <v>17.583559999999999</v>
      </c>
      <c r="K48" s="1">
        <v>11.598800000000001</v>
      </c>
      <c r="L48" s="1">
        <v>0.2285867</v>
      </c>
      <c r="M48" s="1">
        <v>7.0077999999999996</v>
      </c>
      <c r="N48" s="1">
        <v>3.2748800000000002E-2</v>
      </c>
      <c r="O48" s="1">
        <v>1.4537089999999999</v>
      </c>
      <c r="P48" s="1">
        <f ca="1">SUM(OFFSET($A$37,11,1,1,14))</f>
        <v>74.384044500000002</v>
      </c>
      <c r="Q48" s="2">
        <f ca="1">SUM(OFFSET($A$37,11,1,1,12))</f>
        <v>72.897586700000005</v>
      </c>
      <c r="T48" s="2"/>
    </row>
    <row r="49" spans="1:20" x14ac:dyDescent="0.2">
      <c r="A49" s="1">
        <v>11</v>
      </c>
      <c r="B49" s="1">
        <v>9.4887399999999997E-2</v>
      </c>
      <c r="C49" s="1">
        <v>6.493995</v>
      </c>
      <c r="D49" s="1">
        <v>7.2511270000000003</v>
      </c>
      <c r="E49" s="1">
        <v>8.2998499999999993</v>
      </c>
      <c r="F49" s="1">
        <v>30.713329999999999</v>
      </c>
      <c r="G49" s="1">
        <v>7.7477939999999998</v>
      </c>
      <c r="H49" s="1">
        <v>0.85145340000000003</v>
      </c>
      <c r="I49" s="1">
        <v>0.18597939999999999</v>
      </c>
      <c r="J49" s="1">
        <v>9.0949779999999993</v>
      </c>
      <c r="K49" s="1">
        <v>0.21940970000000001</v>
      </c>
      <c r="L49" s="1">
        <v>28.087689999999998</v>
      </c>
      <c r="M49" s="1">
        <v>2.6569289999999999</v>
      </c>
      <c r="N49" s="1">
        <v>1.8528100000000001</v>
      </c>
      <c r="O49" s="1">
        <v>11.45856</v>
      </c>
      <c r="P49" s="1">
        <f ca="1">SUM(OFFSET($A$37,12,1,1,14))</f>
        <v>115.0087929</v>
      </c>
      <c r="Q49" s="2">
        <f ca="1">SUM(OFFSET($A$37,12,1,1,12))</f>
        <v>101.69742289999999</v>
      </c>
      <c r="T49" s="2"/>
    </row>
    <row r="50" spans="1:20" x14ac:dyDescent="0.2">
      <c r="A50" s="1">
        <v>12</v>
      </c>
      <c r="B50" s="1">
        <v>0.1130024</v>
      </c>
      <c r="C50" s="1">
        <v>2.4494289999999999</v>
      </c>
      <c r="D50" s="1">
        <v>8.2999410000000005</v>
      </c>
      <c r="E50" s="1">
        <v>21.21791</v>
      </c>
      <c r="F50" s="1">
        <v>26.468360000000001</v>
      </c>
      <c r="G50" s="1">
        <v>4.1067929999999997</v>
      </c>
      <c r="H50" s="1">
        <v>4.3078440000000002</v>
      </c>
      <c r="I50" s="1">
        <v>1.9622269999999999</v>
      </c>
      <c r="J50" s="1">
        <v>44.214579999999998</v>
      </c>
      <c r="K50" s="1">
        <v>6.4336190000000002</v>
      </c>
      <c r="L50" s="1">
        <v>2.3348019999999998</v>
      </c>
      <c r="M50" s="1">
        <v>181.1011</v>
      </c>
      <c r="N50" s="1">
        <v>2.074446</v>
      </c>
      <c r="O50" s="1">
        <v>51.536149999999999</v>
      </c>
      <c r="P50" s="1">
        <f ca="1">SUM(OFFSET($A$37,13,1,1,14))</f>
        <v>356.62020340000004</v>
      </c>
      <c r="Q50" s="2">
        <f ca="1">SUM(OFFSET($A$37,13,1,1,12))</f>
        <v>303.00960739999999</v>
      </c>
      <c r="T50" s="2"/>
    </row>
    <row r="51" spans="1:20" x14ac:dyDescent="0.2">
      <c r="A51" s="1">
        <v>13</v>
      </c>
      <c r="B51" s="1">
        <v>5.7552999999999997E-3</v>
      </c>
      <c r="C51" s="1">
        <v>0.16978370000000001</v>
      </c>
      <c r="D51" s="1">
        <v>0.25887339999999998</v>
      </c>
      <c r="E51" s="1">
        <v>0.63338249999999996</v>
      </c>
      <c r="F51" s="1">
        <v>5.243538</v>
      </c>
      <c r="G51" s="1">
        <v>0.58910099999999999</v>
      </c>
      <c r="H51" s="1">
        <v>4.7456999999999999E-2</v>
      </c>
      <c r="I51" s="1">
        <v>1.8384500000000002E-2</v>
      </c>
      <c r="J51" s="1">
        <v>1.436911</v>
      </c>
      <c r="K51" s="1">
        <v>3.34302E-2</v>
      </c>
      <c r="L51" s="1">
        <v>1.591261</v>
      </c>
      <c r="M51" s="1">
        <v>2.0714389999999998</v>
      </c>
      <c r="N51" s="1">
        <v>15.52459</v>
      </c>
      <c r="O51" s="1">
        <v>35.357199999999999</v>
      </c>
      <c r="P51" s="1">
        <f ca="1">SUM(OFFSET($A$37,14,1,1,14))</f>
        <v>62.981106599999997</v>
      </c>
      <c r="Q51" s="2">
        <f ca="1">SUM(OFFSET($A$37,14,1,1,12))</f>
        <v>12.099316599999998</v>
      </c>
      <c r="T51" s="2"/>
    </row>
    <row r="52" spans="1:20" x14ac:dyDescent="0.2">
      <c r="A52" s="1">
        <v>14</v>
      </c>
      <c r="B52" s="1">
        <v>2.9134400000000001E-2</v>
      </c>
      <c r="C52" s="1">
        <v>1.418315</v>
      </c>
      <c r="D52" s="1">
        <v>2.2871079999999999</v>
      </c>
      <c r="E52" s="1">
        <v>13.52122</v>
      </c>
      <c r="F52" s="1">
        <v>22.300049999999999</v>
      </c>
      <c r="G52" s="1">
        <v>2.8053650000000001</v>
      </c>
      <c r="H52" s="1">
        <v>0.71723720000000002</v>
      </c>
      <c r="I52" s="1">
        <v>0.22610749999999999</v>
      </c>
      <c r="J52" s="1">
        <v>24.405370000000001</v>
      </c>
      <c r="K52" s="1">
        <v>1.478121</v>
      </c>
      <c r="L52" s="1">
        <v>10.00081</v>
      </c>
      <c r="M52" s="1">
        <v>53.392270000000003</v>
      </c>
      <c r="N52" s="1">
        <v>34.516800000000003</v>
      </c>
      <c r="O52" s="1">
        <v>792.32439999999997</v>
      </c>
      <c r="P52" s="1">
        <f ca="1">SUM(OFFSET($A$37,15,1,1,14))</f>
        <v>959.42230810000001</v>
      </c>
      <c r="Q52" s="2">
        <f ca="1">SUM(OFFSET($A$37,15,1,1,12))</f>
        <v>132.58110809999999</v>
      </c>
      <c r="T52" s="2"/>
    </row>
    <row r="53" spans="1:20" x14ac:dyDescent="0.2">
      <c r="A53" s="1" t="s">
        <v>43</v>
      </c>
      <c r="B53" s="1">
        <f ca="1">SUM(OFFSET($A$37,2,1,14,1))</f>
        <v>51.947638099999992</v>
      </c>
      <c r="C53" s="1">
        <f ca="1">SUM(OFFSET($A$37,2,2,14,1))</f>
        <v>357.76104669999995</v>
      </c>
      <c r="D53" s="1">
        <f ca="1">SUM(OFFSET($A$37,2,3,14,1))</f>
        <v>240.20036839999997</v>
      </c>
      <c r="E53" s="1">
        <f ca="1">SUM(OFFSET($A$37,2,4,14,1))</f>
        <v>1316.0898125000001</v>
      </c>
      <c r="F53" s="1">
        <f ca="1">SUM(OFFSET($A$37,2,5,14,1))</f>
        <v>1147.9818280000002</v>
      </c>
      <c r="G53" s="1">
        <f ca="1">SUM(OFFSET($A$37,2,6,14,1))</f>
        <v>309.80567550000001</v>
      </c>
      <c r="H53" s="1">
        <f ca="1">SUM(OFFSET($A$37,2,7,14,1))</f>
        <v>357.25725560000001</v>
      </c>
      <c r="I53" s="1">
        <f ca="1">SUM(OFFSET($A$37,2,8,14,1))</f>
        <v>91.450455199999993</v>
      </c>
      <c r="J53" s="1">
        <f ca="1">SUM(OFFSET($A$37,2,9,14,1))</f>
        <v>1257.4035125000003</v>
      </c>
      <c r="K53" s="1">
        <f ca="1">SUM(OFFSET($A$37,2,10,14,1))</f>
        <v>67.649173900000008</v>
      </c>
      <c r="L53" s="1">
        <f ca="1">SUM(OFFSET($A$37,2,11,14,1))</f>
        <v>95.141209199999992</v>
      </c>
      <c r="M53" s="1">
        <f ca="1">SUM(OFFSET($A$37,2,12,14,1))</f>
        <v>346.69373660000002</v>
      </c>
      <c r="N53" s="1">
        <f ca="1">SUM(OFFSET($A$37,2,13,14,1))</f>
        <v>62.738799800000002</v>
      </c>
      <c r="O53" s="1">
        <f ca="1">SUM(OFFSET($A$37,2,14,14,1))</f>
        <v>946.1507752</v>
      </c>
      <c r="P53" s="1">
        <f ca="1">SUM(OFFSET($A$37,16,1,1,14))</f>
        <v>6648.2712872000011</v>
      </c>
      <c r="Q53" s="2">
        <f ca="1">SUM(OFFSET($A$37,16,1,1,12))</f>
        <v>5639.3817122000009</v>
      </c>
      <c r="T53" s="2"/>
    </row>
    <row r="54" spans="1:20" x14ac:dyDescent="0.2">
      <c r="O54" s="11" t="s">
        <v>59</v>
      </c>
      <c r="P54" s="1">
        <f ca="1">SUM(OFFSET($B$39,0,0,12,12))</f>
        <v>5494.7012875000009</v>
      </c>
      <c r="T54" s="2"/>
    </row>
    <row r="55" spans="1:20" x14ac:dyDescent="0.2">
      <c r="A55" s="1" t="s">
        <v>93</v>
      </c>
      <c r="T55" s="2"/>
    </row>
    <row r="56" spans="1:20" x14ac:dyDescent="0.2"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11</v>
      </c>
      <c r="M56" s="1">
        <v>12</v>
      </c>
      <c r="N56" s="1">
        <v>13</v>
      </c>
      <c r="O56" s="1">
        <v>14</v>
      </c>
      <c r="P56" s="1" t="s">
        <v>43</v>
      </c>
      <c r="Q56" s="2" t="s">
        <v>61</v>
      </c>
      <c r="T56" s="2"/>
    </row>
    <row r="57" spans="1:20" x14ac:dyDescent="0.2">
      <c r="A57" s="1">
        <v>1</v>
      </c>
      <c r="B57" s="1">
        <v>71.265309999999999</v>
      </c>
      <c r="C57" s="1">
        <v>121.8772</v>
      </c>
      <c r="D57" s="1">
        <v>103.0142</v>
      </c>
      <c r="E57" s="1">
        <v>185.934</v>
      </c>
      <c r="F57" s="1">
        <v>87.718969999999999</v>
      </c>
      <c r="G57" s="1">
        <v>1.6376189999999999</v>
      </c>
      <c r="H57" s="1">
        <v>5.9208610000000004</v>
      </c>
      <c r="I57" s="1">
        <v>0.36101280000000002</v>
      </c>
      <c r="J57" s="1">
        <v>0.60371540000000001</v>
      </c>
      <c r="K57" s="1">
        <v>0.112979</v>
      </c>
      <c r="L57" s="1">
        <v>0.16518550000000001</v>
      </c>
      <c r="M57" s="1">
        <v>6.3720000000000001E-3</v>
      </c>
      <c r="N57" s="1">
        <v>0</v>
      </c>
      <c r="O57" s="1">
        <v>0</v>
      </c>
      <c r="P57" s="1">
        <f ca="1">SUM(OFFSET($A$55,2,1,1,14))</f>
        <v>578.61742470000013</v>
      </c>
      <c r="Q57" s="2">
        <f ca="1">SUM(OFFSET($A$55,2,1,1,12))</f>
        <v>578.61742470000013</v>
      </c>
      <c r="T57" s="2"/>
    </row>
    <row r="58" spans="1:20" x14ac:dyDescent="0.2">
      <c r="A58" s="1">
        <v>2</v>
      </c>
      <c r="B58" s="1">
        <v>121.2243</v>
      </c>
      <c r="C58" s="1">
        <v>1994.796</v>
      </c>
      <c r="D58" s="1">
        <v>543.87490000000003</v>
      </c>
      <c r="E58" s="1">
        <v>1031.3510000000001</v>
      </c>
      <c r="F58" s="1">
        <v>665.90319999999997</v>
      </c>
      <c r="G58" s="1">
        <v>94.939449999999994</v>
      </c>
      <c r="H58" s="1">
        <v>32.159080000000003</v>
      </c>
      <c r="I58" s="1">
        <v>12.485390000000001</v>
      </c>
      <c r="J58" s="1">
        <v>9.8221579999999999</v>
      </c>
      <c r="K58" s="1">
        <v>3.74824</v>
      </c>
      <c r="L58" s="1">
        <v>22.778359999999999</v>
      </c>
      <c r="M58" s="1">
        <v>0.47425929999999999</v>
      </c>
      <c r="N58" s="1">
        <v>0</v>
      </c>
      <c r="O58" s="1">
        <v>0</v>
      </c>
      <c r="P58" s="1">
        <f ca="1">SUM(OFFSET($A$55,3,1,1,14))</f>
        <v>4533.5563373000005</v>
      </c>
      <c r="Q58" s="2">
        <f ca="1">SUM(OFFSET($A$55,3,1,1,12))</f>
        <v>4533.5563373000005</v>
      </c>
    </row>
    <row r="59" spans="1:20" x14ac:dyDescent="0.2">
      <c r="A59" s="1">
        <v>3</v>
      </c>
      <c r="B59" s="1">
        <v>53.44914</v>
      </c>
      <c r="C59" s="1">
        <v>283.96179999999998</v>
      </c>
      <c r="D59" s="1">
        <v>418.22500000000002</v>
      </c>
      <c r="E59" s="1">
        <v>1725.4690000000001</v>
      </c>
      <c r="F59" s="1">
        <v>336.17270000000002</v>
      </c>
      <c r="G59" s="1">
        <v>36.209119999999999</v>
      </c>
      <c r="H59" s="1">
        <v>53.776989999999998</v>
      </c>
      <c r="I59" s="1">
        <v>9.9989080000000001</v>
      </c>
      <c r="J59" s="1">
        <v>38.845910000000003</v>
      </c>
      <c r="K59" s="1">
        <v>4.5032160000000001</v>
      </c>
      <c r="L59" s="1">
        <v>10.420959999999999</v>
      </c>
      <c r="M59" s="1">
        <v>1.3983030000000001</v>
      </c>
      <c r="N59" s="1">
        <v>0</v>
      </c>
      <c r="O59" s="1">
        <v>0</v>
      </c>
      <c r="P59" s="1">
        <f ca="1">SUM(OFFSET($A$55,4,1,1,14))</f>
        <v>2972.431047</v>
      </c>
      <c r="Q59" s="2">
        <f ca="1">SUM(OFFSET($A$55,4,1,1,12))</f>
        <v>2972.431047</v>
      </c>
    </row>
    <row r="60" spans="1:20" x14ac:dyDescent="0.2">
      <c r="A60" s="1">
        <v>4</v>
      </c>
      <c r="B60" s="1">
        <v>163.72730000000001</v>
      </c>
      <c r="C60" s="1">
        <v>859.76850000000002</v>
      </c>
      <c r="D60" s="1">
        <v>1856.511</v>
      </c>
      <c r="E60" s="1">
        <v>23304.23</v>
      </c>
      <c r="F60" s="1">
        <v>2020.296</v>
      </c>
      <c r="G60" s="1">
        <v>236.5985</v>
      </c>
      <c r="H60" s="1">
        <v>863.07669999999996</v>
      </c>
      <c r="I60" s="1">
        <v>320.55169999999998</v>
      </c>
      <c r="J60" s="1">
        <v>452.5849</v>
      </c>
      <c r="K60" s="1">
        <v>145.9239</v>
      </c>
      <c r="L60" s="1">
        <v>21.353459999999998</v>
      </c>
      <c r="M60" s="1">
        <v>16.61459</v>
      </c>
      <c r="N60" s="1">
        <v>0</v>
      </c>
      <c r="O60" s="1">
        <v>0</v>
      </c>
      <c r="P60" s="1">
        <f ca="1">SUM(OFFSET($A$55,5,1,1,14))</f>
        <v>30261.236550000001</v>
      </c>
      <c r="Q60" s="2">
        <f ca="1">SUM(OFFSET($A$55,5,1,1,12))</f>
        <v>30261.236550000001</v>
      </c>
    </row>
    <row r="61" spans="1:20" x14ac:dyDescent="0.2">
      <c r="A61" s="1">
        <v>5</v>
      </c>
      <c r="B61" s="1">
        <v>85.905869999999993</v>
      </c>
      <c r="C61" s="1">
        <v>656.57249999999999</v>
      </c>
      <c r="D61" s="1">
        <v>500.62049999999999</v>
      </c>
      <c r="E61" s="1">
        <v>2017.7909999999999</v>
      </c>
      <c r="F61" s="1">
        <v>5852.1559999999999</v>
      </c>
      <c r="G61" s="1">
        <v>1957.193</v>
      </c>
      <c r="H61" s="1">
        <v>433.47750000000002</v>
      </c>
      <c r="I61" s="1">
        <v>63.14161</v>
      </c>
      <c r="J61" s="1">
        <v>541.76020000000005</v>
      </c>
      <c r="K61" s="1">
        <v>34.770589999999999</v>
      </c>
      <c r="L61" s="1">
        <v>176.685</v>
      </c>
      <c r="M61" s="1">
        <v>35.326970000000003</v>
      </c>
      <c r="N61" s="1">
        <v>0</v>
      </c>
      <c r="O61" s="1">
        <v>0</v>
      </c>
      <c r="P61" s="1">
        <f ca="1">SUM(OFFSET($A$55,6,1,1,14))</f>
        <v>12355.400740000001</v>
      </c>
      <c r="Q61" s="2">
        <f ca="1">SUM(OFFSET($A$55,6,1,1,12))</f>
        <v>12355.400740000001</v>
      </c>
    </row>
    <row r="62" spans="1:20" x14ac:dyDescent="0.2">
      <c r="A62" s="1">
        <v>6</v>
      </c>
      <c r="B62" s="1">
        <v>1.625756</v>
      </c>
      <c r="C62" s="1">
        <v>92.271460000000005</v>
      </c>
      <c r="D62" s="1">
        <v>67.052030000000002</v>
      </c>
      <c r="E62" s="1">
        <v>231.72120000000001</v>
      </c>
      <c r="F62" s="1">
        <v>1803.731</v>
      </c>
      <c r="G62" s="1">
        <v>822.16859999999997</v>
      </c>
      <c r="H62" s="1">
        <v>22.1236</v>
      </c>
      <c r="I62" s="1">
        <v>3.7484639999999998</v>
      </c>
      <c r="J62" s="1">
        <v>49.718209999999999</v>
      </c>
      <c r="K62" s="1">
        <v>1.500696</v>
      </c>
      <c r="L62" s="1">
        <v>130.99719999999999</v>
      </c>
      <c r="M62" s="1">
        <v>10.717879999999999</v>
      </c>
      <c r="N62" s="1">
        <v>0</v>
      </c>
      <c r="O62" s="1">
        <v>0</v>
      </c>
      <c r="P62" s="1">
        <f ca="1">SUM(OFFSET($A$55,7,1,1,14))</f>
        <v>3237.3760959999995</v>
      </c>
      <c r="Q62" s="2">
        <f ca="1">SUM(OFFSET($A$55,7,1,1,12))</f>
        <v>3237.3760959999995</v>
      </c>
    </row>
    <row r="63" spans="1:20" x14ac:dyDescent="0.2">
      <c r="A63" s="1">
        <v>7</v>
      </c>
      <c r="B63" s="1">
        <v>5.7033889999999996</v>
      </c>
      <c r="C63" s="1">
        <v>30.05707</v>
      </c>
      <c r="D63" s="1">
        <v>122.1113</v>
      </c>
      <c r="E63" s="1">
        <v>994.55899999999997</v>
      </c>
      <c r="F63" s="1">
        <v>403.9402</v>
      </c>
      <c r="G63" s="1">
        <v>20.754280000000001</v>
      </c>
      <c r="H63" s="1">
        <v>994.26139999999998</v>
      </c>
      <c r="I63" s="1">
        <v>138.19630000000001</v>
      </c>
      <c r="J63" s="1">
        <v>124.7225</v>
      </c>
      <c r="K63" s="1">
        <v>40.80068</v>
      </c>
      <c r="L63" s="1">
        <v>2.0064160000000002</v>
      </c>
      <c r="M63" s="1">
        <v>7.8629300000000004</v>
      </c>
      <c r="N63" s="1">
        <v>0</v>
      </c>
      <c r="O63" s="1">
        <v>0</v>
      </c>
      <c r="P63" s="1">
        <f ca="1">SUM(OFFSET($A$55,8,1,1,14))</f>
        <v>2884.9754649999995</v>
      </c>
      <c r="Q63" s="2">
        <f ca="1">SUM(OFFSET($A$55,8,1,1,12))</f>
        <v>2884.9754649999995</v>
      </c>
    </row>
    <row r="64" spans="1:20" x14ac:dyDescent="0.2">
      <c r="A64" s="1">
        <v>8</v>
      </c>
      <c r="B64" s="1">
        <v>0.41965950000000002</v>
      </c>
      <c r="C64" s="1">
        <v>14.033189999999999</v>
      </c>
      <c r="D64" s="1">
        <v>28.3337</v>
      </c>
      <c r="E64" s="1">
        <v>397.47640000000001</v>
      </c>
      <c r="F64" s="1">
        <v>66.396230000000003</v>
      </c>
      <c r="G64" s="1">
        <v>3.5175529999999999</v>
      </c>
      <c r="H64" s="1">
        <v>172.47540000000001</v>
      </c>
      <c r="I64" s="1">
        <v>76.370769999999993</v>
      </c>
      <c r="J64" s="1">
        <v>115.35760000000001</v>
      </c>
      <c r="K64" s="1">
        <v>12.58553</v>
      </c>
      <c r="L64" s="1">
        <v>0.76444219999999996</v>
      </c>
      <c r="M64" s="1">
        <v>7.4177629999999999</v>
      </c>
      <c r="N64" s="1">
        <v>0</v>
      </c>
      <c r="O64" s="1">
        <v>1.0841E-3</v>
      </c>
      <c r="P64" s="1">
        <f ca="1">SUM(OFFSET($A$55,9,1,1,14))</f>
        <v>895.14932179999994</v>
      </c>
      <c r="Q64" s="2">
        <f ca="1">SUM(OFFSET($A$55,9,1,1,12))</f>
        <v>895.14823769999998</v>
      </c>
    </row>
    <row r="65" spans="1:17" x14ac:dyDescent="0.2">
      <c r="A65" s="1">
        <v>9</v>
      </c>
      <c r="B65" s="1">
        <v>0.37524229999999997</v>
      </c>
      <c r="C65" s="1">
        <v>10.01046</v>
      </c>
      <c r="D65" s="1">
        <v>67.022080000000003</v>
      </c>
      <c r="E65" s="1">
        <v>411.8777</v>
      </c>
      <c r="F65" s="1">
        <v>375.28449999999998</v>
      </c>
      <c r="G65" s="1">
        <v>39.776739999999997</v>
      </c>
      <c r="H65" s="1">
        <v>98.086179999999999</v>
      </c>
      <c r="I65" s="1">
        <v>87.848389999999995</v>
      </c>
      <c r="J65" s="1">
        <v>3909.2779999999998</v>
      </c>
      <c r="K65" s="1">
        <v>212.71250000000001</v>
      </c>
      <c r="L65" s="1">
        <v>28.066610000000001</v>
      </c>
      <c r="M65" s="1">
        <v>380.8116</v>
      </c>
      <c r="N65" s="1">
        <v>4.8099999999999998E-4</v>
      </c>
      <c r="O65" s="1">
        <v>5.9814949999999998</v>
      </c>
      <c r="P65" s="1">
        <f ca="1">SUM(OFFSET($A$55,10,1,1,14))</f>
        <v>5627.1319782999999</v>
      </c>
      <c r="Q65" s="2">
        <f ca="1">SUM(OFFSET($A$55,10,1,1,12))</f>
        <v>5621.1500022999999</v>
      </c>
    </row>
    <row r="66" spans="1:17" x14ac:dyDescent="0.2">
      <c r="A66" s="1">
        <v>10</v>
      </c>
      <c r="B66" s="1">
        <v>0.12730449999999999</v>
      </c>
      <c r="C66" s="1">
        <v>4.0882670000000001</v>
      </c>
      <c r="D66" s="1">
        <v>9.7703530000000001</v>
      </c>
      <c r="E66" s="1">
        <v>182.13820000000001</v>
      </c>
      <c r="F66" s="1">
        <v>38.19679</v>
      </c>
      <c r="G66" s="1">
        <v>1.4871239999999999</v>
      </c>
      <c r="H66" s="1">
        <v>49.465870000000002</v>
      </c>
      <c r="I66" s="1">
        <v>12.083209999999999</v>
      </c>
      <c r="J66" s="1">
        <v>263.60000000000002</v>
      </c>
      <c r="K66" s="1">
        <v>75.994060000000005</v>
      </c>
      <c r="L66" s="1">
        <v>0.91777869999999995</v>
      </c>
      <c r="M66" s="1">
        <v>35.976559999999999</v>
      </c>
      <c r="N66" s="1">
        <v>0</v>
      </c>
      <c r="O66" s="1">
        <v>2.2781200000000001E-2</v>
      </c>
      <c r="P66" s="1">
        <f ca="1">SUM(OFFSET($A$55,11,1,1,14))</f>
        <v>673.86829839999996</v>
      </c>
      <c r="Q66" s="2">
        <f ca="1">SUM(OFFSET($A$55,11,1,1,12))</f>
        <v>673.8455171999999</v>
      </c>
    </row>
    <row r="67" spans="1:17" x14ac:dyDescent="0.2">
      <c r="A67" s="1">
        <v>11</v>
      </c>
      <c r="B67" s="1">
        <v>0.1888157</v>
      </c>
      <c r="C67" s="1">
        <v>24.90851</v>
      </c>
      <c r="D67" s="1">
        <v>21.086849999999998</v>
      </c>
      <c r="E67" s="1">
        <v>23.905550000000002</v>
      </c>
      <c r="F67" s="1">
        <v>192.80680000000001</v>
      </c>
      <c r="G67" s="1">
        <v>107.0399</v>
      </c>
      <c r="H67" s="1">
        <v>1.9973799999999999</v>
      </c>
      <c r="I67" s="1">
        <v>0.88888579999999995</v>
      </c>
      <c r="J67" s="1">
        <v>31.604050000000001</v>
      </c>
      <c r="K67" s="1">
        <v>0.5118838</v>
      </c>
      <c r="L67" s="1">
        <v>131.9135</v>
      </c>
      <c r="M67" s="1">
        <v>12.5091</v>
      </c>
      <c r="N67" s="1">
        <v>0</v>
      </c>
      <c r="O67" s="1">
        <v>4.4260099999999997E-2</v>
      </c>
      <c r="P67" s="1">
        <f ca="1">SUM(OFFSET($A$55,12,1,1,14))</f>
        <v>549.40548540000009</v>
      </c>
      <c r="Q67" s="2">
        <f ca="1">SUM(OFFSET($A$55,12,1,1,12))</f>
        <v>549.36122530000011</v>
      </c>
    </row>
    <row r="68" spans="1:17" x14ac:dyDescent="0.2">
      <c r="A68" s="1">
        <v>12</v>
      </c>
      <c r="B68" s="1">
        <v>5.8266000000000004E-3</v>
      </c>
      <c r="C68" s="1">
        <v>1.7129559999999999</v>
      </c>
      <c r="D68" s="1">
        <v>4.964296</v>
      </c>
      <c r="E68" s="1">
        <v>17.776669999999999</v>
      </c>
      <c r="F68" s="1">
        <v>34.765740000000001</v>
      </c>
      <c r="G68" s="1">
        <v>12.19201</v>
      </c>
      <c r="H68" s="1">
        <v>6.2188990000000004</v>
      </c>
      <c r="I68" s="1">
        <v>4.9918139999999998</v>
      </c>
      <c r="J68" s="1">
        <v>357.7072</v>
      </c>
      <c r="K68" s="1">
        <v>28.62378</v>
      </c>
      <c r="L68" s="1">
        <v>12.93106</v>
      </c>
      <c r="M68" s="1">
        <v>439.47879999999998</v>
      </c>
      <c r="N68" s="1">
        <v>0.276976</v>
      </c>
      <c r="O68" s="1">
        <v>29.32565</v>
      </c>
      <c r="P68" s="1">
        <f ca="1">SUM(OFFSET($A$55,13,1,1,14))</f>
        <v>950.97167760000002</v>
      </c>
      <c r="Q68" s="2">
        <f ca="1">SUM(OFFSET($A$55,13,1,1,12))</f>
        <v>921.36905160000003</v>
      </c>
    </row>
    <row r="69" spans="1:17" x14ac:dyDescent="0.2">
      <c r="A69" s="1">
        <v>13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1.0900000000000001E-5</v>
      </c>
      <c r="K69" s="1">
        <v>0</v>
      </c>
      <c r="L69" s="1">
        <v>0</v>
      </c>
      <c r="M69" s="1">
        <v>0.21343100000000001</v>
      </c>
      <c r="N69" s="1">
        <v>31.965199999999999</v>
      </c>
      <c r="O69" s="1">
        <v>108.1054</v>
      </c>
      <c r="P69" s="1">
        <f ca="1">SUM(OFFSET($A$55,14,1,1,14))</f>
        <v>140.28404190000001</v>
      </c>
      <c r="Q69" s="2">
        <f ca="1">SUM(OFFSET($A$55,14,1,1,12))</f>
        <v>0.21344190000000002</v>
      </c>
    </row>
    <row r="70" spans="1:17" x14ac:dyDescent="0.2">
      <c r="A70" s="1">
        <v>14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3.9341569999999999</v>
      </c>
      <c r="K70" s="1">
        <v>0</v>
      </c>
      <c r="L70" s="1">
        <v>1.1148E-3</v>
      </c>
      <c r="M70" s="1">
        <v>29.393750000000001</v>
      </c>
      <c r="N70" s="1">
        <v>117.2526</v>
      </c>
      <c r="O70" s="1">
        <v>1420.722</v>
      </c>
      <c r="P70" s="1">
        <f ca="1">SUM(OFFSET($A$55,15,1,1,14))</f>
        <v>1571.3036218</v>
      </c>
      <c r="Q70" s="2">
        <f ca="1">SUM(OFFSET($A$55,15,1,1,12))</f>
        <v>33.3290218</v>
      </c>
    </row>
    <row r="71" spans="1:17" x14ac:dyDescent="0.2">
      <c r="A71" s="1" t="s">
        <v>43</v>
      </c>
      <c r="B71" s="1">
        <f ca="1">SUM(OFFSET($A$55,2,1,14,1))</f>
        <v>504.0179136000001</v>
      </c>
      <c r="C71" s="1">
        <f ca="1">SUM(OFFSET($A$55,2,2,14,1))</f>
        <v>4094.0579130000006</v>
      </c>
      <c r="D71" s="1">
        <f ca="1">SUM(OFFSET($A$55,2,3,14,1))</f>
        <v>3742.5862090000005</v>
      </c>
      <c r="E71" s="1">
        <f ca="1">SUM(OFFSET($A$55,2,4,14,1))</f>
        <v>30524.229720000003</v>
      </c>
      <c r="F71" s="1">
        <f ca="1">SUM(OFFSET($A$55,2,5,14,1))</f>
        <v>11877.368130000001</v>
      </c>
      <c r="G71" s="1">
        <f ca="1">SUM(OFFSET($A$55,2,6,14,1))</f>
        <v>3333.5138960000004</v>
      </c>
      <c r="H71" s="1">
        <f ca="1">SUM(OFFSET($A$55,2,7,14,1))</f>
        <v>2733.0398599999994</v>
      </c>
      <c r="I71" s="1">
        <f ca="1">SUM(OFFSET($A$55,2,8,14,1))</f>
        <v>730.66645460000007</v>
      </c>
      <c r="J71" s="1">
        <f ca="1">SUM(OFFSET($A$55,2,9,14,1))</f>
        <v>5899.5386113000004</v>
      </c>
      <c r="K71" s="1">
        <f ca="1">SUM(OFFSET($A$55,2,10,14,1))</f>
        <v>561.78805480000005</v>
      </c>
      <c r="L71" s="1">
        <f ca="1">SUM(OFFSET($A$55,2,11,14,1))</f>
        <v>539.00108720000003</v>
      </c>
      <c r="M71" s="1">
        <f ca="1">SUM(OFFSET($A$55,2,12,14,1))</f>
        <v>978.20230830000003</v>
      </c>
      <c r="N71" s="1">
        <f ca="1">SUM(OFFSET($A$55,2,13,14,1))</f>
        <v>149.49525700000001</v>
      </c>
      <c r="O71" s="1">
        <f ca="1">SUM(OFFSET($A$55,2,14,14,1))</f>
        <v>1564.2026704</v>
      </c>
      <c r="P71" s="1">
        <f ca="1">SUM(OFFSET($A$55,16,1,1,14))</f>
        <v>67231.708085200007</v>
      </c>
      <c r="Q71" s="2">
        <f ca="1">SUM(OFFSET($A$55,16,1,1,12))</f>
        <v>65518.010157800003</v>
      </c>
    </row>
    <row r="72" spans="1:17" x14ac:dyDescent="0.2">
      <c r="O72" s="11" t="s">
        <v>59</v>
      </c>
      <c r="P72" s="1">
        <f ca="1">SUM(OFFSET($B$57,0,0,12,12))</f>
        <v>65484.467694100014</v>
      </c>
    </row>
    <row r="73" spans="1:17" x14ac:dyDescent="0.2">
      <c r="A73" s="1" t="s">
        <v>95</v>
      </c>
    </row>
    <row r="74" spans="1:17" x14ac:dyDescent="0.2">
      <c r="B74" s="1">
        <v>1</v>
      </c>
      <c r="C74" s="1">
        <v>2</v>
      </c>
      <c r="D74" s="1">
        <v>3</v>
      </c>
      <c r="E74" s="1">
        <v>4</v>
      </c>
      <c r="F74" s="1">
        <v>5</v>
      </c>
      <c r="G74" s="1">
        <v>6</v>
      </c>
      <c r="H74" s="1">
        <v>7</v>
      </c>
      <c r="I74" s="1">
        <v>8</v>
      </c>
      <c r="J74" s="1">
        <v>9</v>
      </c>
      <c r="K74" s="1">
        <v>10</v>
      </c>
      <c r="L74" s="1">
        <v>11</v>
      </c>
      <c r="M74" s="1">
        <v>12</v>
      </c>
      <c r="N74" s="1">
        <v>13</v>
      </c>
      <c r="O74" s="1">
        <v>14</v>
      </c>
      <c r="P74" s="1" t="s">
        <v>43</v>
      </c>
      <c r="Q74" s="2" t="s">
        <v>61</v>
      </c>
    </row>
    <row r="75" spans="1:17" x14ac:dyDescent="0.2">
      <c r="A75" s="1">
        <v>1</v>
      </c>
      <c r="B75" s="1">
        <v>0</v>
      </c>
      <c r="C75" s="1">
        <v>5.6173450000000003</v>
      </c>
      <c r="D75" s="1">
        <v>20.716149999999999</v>
      </c>
      <c r="E75" s="1">
        <v>281.21499999999997</v>
      </c>
      <c r="F75" s="1">
        <v>170.85669999999999</v>
      </c>
      <c r="G75" s="1">
        <v>2.5120339999999999</v>
      </c>
      <c r="H75" s="1">
        <v>14.161770000000001</v>
      </c>
      <c r="I75" s="1">
        <v>0.67431750000000001</v>
      </c>
      <c r="J75" s="1">
        <v>4.9145899999999996</v>
      </c>
      <c r="K75" s="1">
        <v>0.222637</v>
      </c>
      <c r="L75" s="1">
        <v>0.45052419999999999</v>
      </c>
      <c r="M75" s="1">
        <v>0.40413710000000003</v>
      </c>
      <c r="N75" s="1">
        <v>0</v>
      </c>
      <c r="O75" s="1">
        <v>0</v>
      </c>
      <c r="P75" s="1">
        <f ca="1">SUM(OFFSET($A$73,2,1,1,14))</f>
        <v>501.74520480000001</v>
      </c>
      <c r="Q75" s="2">
        <f ca="1">SUM(OFFSET($A$73,2,1,1,12))</f>
        <v>501.74520480000001</v>
      </c>
    </row>
    <row r="76" spans="1:17" x14ac:dyDescent="0.2">
      <c r="A76" s="1">
        <v>2</v>
      </c>
      <c r="B76" s="1">
        <v>0</v>
      </c>
      <c r="C76" s="1">
        <v>0</v>
      </c>
      <c r="D76" s="1">
        <v>92.820880000000002</v>
      </c>
      <c r="E76" s="1">
        <v>355.26780000000002</v>
      </c>
      <c r="F76" s="1">
        <v>262.55</v>
      </c>
      <c r="G76" s="1">
        <v>36.337870000000002</v>
      </c>
      <c r="H76" s="1">
        <v>19.62078</v>
      </c>
      <c r="I76" s="1">
        <v>6.1937280000000001</v>
      </c>
      <c r="J76" s="1">
        <v>55.13382</v>
      </c>
      <c r="K76" s="1">
        <v>2.4275039999999999</v>
      </c>
      <c r="L76" s="1">
        <v>11.805870000000001</v>
      </c>
      <c r="M76" s="1">
        <v>3.1737410000000001</v>
      </c>
      <c r="N76" s="1">
        <v>0</v>
      </c>
      <c r="O76" s="1">
        <v>0</v>
      </c>
      <c r="P76" s="1">
        <f ca="1">SUM(OFFSET($A$73,3,1,1,14))</f>
        <v>845.3319929999999</v>
      </c>
      <c r="Q76" s="2">
        <f ca="1">SUM(OFFSET($A$73,3,1,1,12))</f>
        <v>845.3319929999999</v>
      </c>
    </row>
    <row r="77" spans="1:17" x14ac:dyDescent="0.2">
      <c r="A77" s="1">
        <v>3</v>
      </c>
      <c r="B77" s="1">
        <v>5.2346000000000004</v>
      </c>
      <c r="C77" s="1">
        <v>85.420310000000001</v>
      </c>
      <c r="D77" s="1">
        <v>101.3053</v>
      </c>
      <c r="E77" s="1">
        <v>1373.182</v>
      </c>
      <c r="F77" s="1">
        <v>1037.8989999999999</v>
      </c>
      <c r="G77" s="1">
        <v>52.324939999999998</v>
      </c>
      <c r="H77" s="1">
        <v>159.79429999999999</v>
      </c>
      <c r="I77" s="1">
        <v>19.943930000000002</v>
      </c>
      <c r="J77" s="1">
        <v>291.3501</v>
      </c>
      <c r="K77" s="1">
        <v>9.7999539999999996</v>
      </c>
      <c r="L77" s="1">
        <v>21.378779999999999</v>
      </c>
      <c r="M77" s="1">
        <v>13.62537</v>
      </c>
      <c r="N77" s="1">
        <v>0</v>
      </c>
      <c r="O77" s="1">
        <v>4.3300400000000003E-2</v>
      </c>
      <c r="P77" s="1">
        <f ca="1">SUM(OFFSET($A$73,4,1,1,14))</f>
        <v>3171.3018844000003</v>
      </c>
      <c r="Q77" s="2">
        <f ca="1">SUM(OFFSET($A$73,4,1,1,12))</f>
        <v>3171.2585840000002</v>
      </c>
    </row>
    <row r="78" spans="1:17" x14ac:dyDescent="0.2">
      <c r="A78" s="1">
        <v>4</v>
      </c>
      <c r="B78" s="1">
        <v>299.0351</v>
      </c>
      <c r="C78" s="1">
        <v>480.6352</v>
      </c>
      <c r="D78" s="1">
        <v>1874.921</v>
      </c>
      <c r="E78" s="1">
        <v>4200.2579999999998</v>
      </c>
      <c r="F78" s="1">
        <v>5960.3710000000001</v>
      </c>
      <c r="G78" s="1">
        <v>644.11410000000001</v>
      </c>
      <c r="H78" s="1">
        <v>2464.058</v>
      </c>
      <c r="I78" s="1">
        <v>586.7296</v>
      </c>
      <c r="J78" s="1">
        <v>2323.2240000000002</v>
      </c>
      <c r="K78" s="1">
        <v>304.96699999999998</v>
      </c>
      <c r="L78" s="1">
        <v>88.014809999999997</v>
      </c>
      <c r="M78" s="1">
        <v>153.05350000000001</v>
      </c>
      <c r="N78" s="1">
        <v>0</v>
      </c>
      <c r="O78" s="1">
        <v>0.47729830000000001</v>
      </c>
      <c r="P78" s="1">
        <f ca="1">SUM(OFFSET($A$73,5,1,1,14))</f>
        <v>19379.858608300001</v>
      </c>
      <c r="Q78" s="2">
        <f ca="1">SUM(OFFSET($A$73,5,1,1,12))</f>
        <v>19379.381310000001</v>
      </c>
    </row>
    <row r="79" spans="1:17" x14ac:dyDescent="0.2">
      <c r="A79" s="1">
        <v>5</v>
      </c>
      <c r="B79" s="1">
        <v>176.8963</v>
      </c>
      <c r="C79" s="1">
        <v>332.37169999999998</v>
      </c>
      <c r="D79" s="1">
        <v>1282.08</v>
      </c>
      <c r="E79" s="1">
        <v>6207.8760000000002</v>
      </c>
      <c r="F79" s="1">
        <v>5081.2539999999999</v>
      </c>
      <c r="G79" s="1">
        <v>1474.537</v>
      </c>
      <c r="H79" s="1">
        <v>896.65419999999995</v>
      </c>
      <c r="I79" s="1">
        <v>112.878</v>
      </c>
      <c r="J79" s="1">
        <v>4395.5129999999999</v>
      </c>
      <c r="K79" s="1">
        <v>201.40219999999999</v>
      </c>
      <c r="L79" s="1">
        <v>431.20600000000002</v>
      </c>
      <c r="M79" s="1">
        <v>264.9332</v>
      </c>
      <c r="N79" s="1">
        <v>0</v>
      </c>
      <c r="O79" s="1">
        <v>5.9622190000000002</v>
      </c>
      <c r="P79" s="1">
        <f ca="1">SUM(OFFSET($A$73,6,1,1,14))</f>
        <v>20863.563818999999</v>
      </c>
      <c r="Q79" s="2">
        <f ca="1">SUM(OFFSET($A$73,6,1,1,12))</f>
        <v>20857.601599999998</v>
      </c>
    </row>
    <row r="80" spans="1:17" x14ac:dyDescent="0.2">
      <c r="A80" s="1">
        <v>6</v>
      </c>
      <c r="B80" s="1">
        <v>2.7865289999999998</v>
      </c>
      <c r="C80" s="1">
        <v>52.101349999999996</v>
      </c>
      <c r="D80" s="1">
        <v>98.539770000000004</v>
      </c>
      <c r="E80" s="1">
        <v>723.79560000000004</v>
      </c>
      <c r="F80" s="1">
        <v>1805.3910000000001</v>
      </c>
      <c r="G80" s="1">
        <v>67.228219999999993</v>
      </c>
      <c r="H80" s="1">
        <v>31.698640000000001</v>
      </c>
      <c r="I80" s="1">
        <v>4.1663829999999997</v>
      </c>
      <c r="J80" s="1">
        <v>156.12540000000001</v>
      </c>
      <c r="K80" s="1">
        <v>5.9811990000000002</v>
      </c>
      <c r="L80" s="1">
        <v>3.799865</v>
      </c>
      <c r="M80" s="1">
        <v>10.278689999999999</v>
      </c>
      <c r="N80" s="1">
        <v>0</v>
      </c>
      <c r="O80" s="1">
        <v>5.0280699999999998E-2</v>
      </c>
      <c r="P80" s="1">
        <f ca="1">SUM(OFFSET($A$73,7,1,1,14))</f>
        <v>2961.9429267</v>
      </c>
      <c r="Q80" s="2">
        <f ca="1">SUM(OFFSET($A$73,7,1,1,12))</f>
        <v>2961.8926460000002</v>
      </c>
    </row>
    <row r="81" spans="1:17" x14ac:dyDescent="0.2">
      <c r="A81" s="1">
        <v>7</v>
      </c>
      <c r="B81" s="1">
        <v>13.576750000000001</v>
      </c>
      <c r="C81" s="1">
        <v>23.157309999999999</v>
      </c>
      <c r="D81" s="1">
        <v>270.33839999999998</v>
      </c>
      <c r="E81" s="1">
        <v>2418.6010000000001</v>
      </c>
      <c r="F81" s="1">
        <v>947.09289999999999</v>
      </c>
      <c r="G81" s="1">
        <v>25.21771</v>
      </c>
      <c r="H81" s="1">
        <v>69.197159999999997</v>
      </c>
      <c r="I81" s="1">
        <v>59.041780000000003</v>
      </c>
      <c r="J81" s="1">
        <v>75.948599999999999</v>
      </c>
      <c r="K81" s="1">
        <v>22.531690000000001</v>
      </c>
      <c r="L81" s="1">
        <v>2.4215499999999999</v>
      </c>
      <c r="M81" s="1">
        <v>7.9509040000000004</v>
      </c>
      <c r="N81" s="1">
        <v>0</v>
      </c>
      <c r="O81" s="1">
        <v>0</v>
      </c>
      <c r="P81" s="1">
        <f ca="1">SUM(OFFSET($A$73,8,1,1,14))</f>
        <v>3935.075754</v>
      </c>
      <c r="Q81" s="2">
        <f ca="1">SUM(OFFSET($A$73,8,1,1,12))</f>
        <v>3935.075754</v>
      </c>
    </row>
    <row r="82" spans="1:17" x14ac:dyDescent="0.2">
      <c r="A82" s="1">
        <v>8</v>
      </c>
      <c r="B82" s="1">
        <v>0.75545519999999999</v>
      </c>
      <c r="C82" s="1">
        <v>8.3019770000000008</v>
      </c>
      <c r="D82" s="1">
        <v>39.208750000000002</v>
      </c>
      <c r="E82" s="1">
        <v>602.19069999999999</v>
      </c>
      <c r="F82" s="1">
        <v>126.7105</v>
      </c>
      <c r="G82" s="1">
        <v>4.695532</v>
      </c>
      <c r="H82" s="1">
        <v>72.758089999999996</v>
      </c>
      <c r="I82" s="1">
        <v>1.369502</v>
      </c>
      <c r="J82" s="1">
        <v>24.548030000000001</v>
      </c>
      <c r="K82" s="1">
        <v>3.116714</v>
      </c>
      <c r="L82" s="1">
        <v>0.88700480000000004</v>
      </c>
      <c r="M82" s="1">
        <v>4.0190609999999998</v>
      </c>
      <c r="N82" s="1">
        <v>0</v>
      </c>
      <c r="O82" s="1">
        <v>9.7765999999999999E-3</v>
      </c>
      <c r="P82" s="1">
        <f ca="1">SUM(OFFSET($A$73,9,1,1,14))</f>
        <v>888.57109260000004</v>
      </c>
      <c r="Q82" s="2">
        <f ca="1">SUM(OFFSET($A$73,9,1,1,12))</f>
        <v>888.56131600000003</v>
      </c>
    </row>
    <row r="83" spans="1:17" x14ac:dyDescent="0.2">
      <c r="A83" s="1">
        <v>9</v>
      </c>
      <c r="B83" s="1">
        <v>5.5270080000000004</v>
      </c>
      <c r="C83" s="1">
        <v>76.425060000000002</v>
      </c>
      <c r="D83" s="1">
        <v>531.79610000000002</v>
      </c>
      <c r="E83" s="1">
        <v>2576.154</v>
      </c>
      <c r="F83" s="1">
        <v>4879.3069999999998</v>
      </c>
      <c r="G83" s="1">
        <v>176.23689999999999</v>
      </c>
      <c r="H83" s="1">
        <v>102.2953</v>
      </c>
      <c r="I83" s="1">
        <v>30.34939</v>
      </c>
      <c r="J83" s="1">
        <v>843.27739999999994</v>
      </c>
      <c r="K83" s="1">
        <v>25.801480000000002</v>
      </c>
      <c r="L83" s="1">
        <v>36.304029999999997</v>
      </c>
      <c r="M83" s="1">
        <v>28.493120000000001</v>
      </c>
      <c r="N83" s="1">
        <v>0</v>
      </c>
      <c r="O83" s="1">
        <v>1.3960600000000001</v>
      </c>
      <c r="P83" s="1">
        <f ca="1">SUM(OFFSET($A$73,10,1,1,14))</f>
        <v>9313.3628479999952</v>
      </c>
      <c r="Q83" s="2">
        <f ca="1">SUM(OFFSET($A$73,10,1,1,12))</f>
        <v>9311.9667879999961</v>
      </c>
    </row>
    <row r="84" spans="1:17" x14ac:dyDescent="0.2">
      <c r="A84" s="1">
        <v>10</v>
      </c>
      <c r="B84" s="1">
        <v>0.2544575</v>
      </c>
      <c r="C84" s="1">
        <v>3.8061370000000001</v>
      </c>
      <c r="D84" s="1">
        <v>16.515750000000001</v>
      </c>
      <c r="E84" s="1">
        <v>288.36200000000002</v>
      </c>
      <c r="F84" s="1">
        <v>228.09790000000001</v>
      </c>
      <c r="G84" s="1">
        <v>7.6844950000000001</v>
      </c>
      <c r="H84" s="1">
        <v>21.803909999999998</v>
      </c>
      <c r="I84" s="1">
        <v>3.3228040000000001</v>
      </c>
      <c r="J84" s="1">
        <v>27.723759999999999</v>
      </c>
      <c r="K84" s="1">
        <v>0</v>
      </c>
      <c r="L84" s="1">
        <v>6.1811100000000001E-2</v>
      </c>
      <c r="M84" s="1">
        <v>0</v>
      </c>
      <c r="N84" s="1">
        <v>0</v>
      </c>
      <c r="O84" s="1">
        <v>0</v>
      </c>
      <c r="P84" s="1">
        <f ca="1">SUM(OFFSET($A$73,11,1,1,14))</f>
        <v>597.6330246</v>
      </c>
      <c r="Q84" s="2">
        <f ca="1">SUM(OFFSET($A$73,11,1,1,12))</f>
        <v>597.6330246</v>
      </c>
    </row>
    <row r="85" spans="1:17" x14ac:dyDescent="0.2">
      <c r="A85" s="1">
        <v>11</v>
      </c>
      <c r="B85" s="1">
        <v>0.52938569999999996</v>
      </c>
      <c r="C85" s="1">
        <v>15.720409999999999</v>
      </c>
      <c r="D85" s="1">
        <v>44.218440000000001</v>
      </c>
      <c r="E85" s="1">
        <v>99.048749999999998</v>
      </c>
      <c r="F85" s="1">
        <v>403.3134</v>
      </c>
      <c r="G85" s="1">
        <v>57.557609999999997</v>
      </c>
      <c r="H85" s="1">
        <v>3.4645860000000002</v>
      </c>
      <c r="I85" s="1">
        <v>0.65914859999999997</v>
      </c>
      <c r="J85" s="1">
        <v>32.263019999999997</v>
      </c>
      <c r="K85" s="1">
        <v>0.63802559999999997</v>
      </c>
      <c r="L85" s="1">
        <v>10.42313</v>
      </c>
      <c r="M85" s="1">
        <v>0.46621990000000002</v>
      </c>
      <c r="N85" s="1">
        <v>0</v>
      </c>
      <c r="O85" s="1">
        <v>0</v>
      </c>
      <c r="P85" s="1">
        <f ca="1">SUM(OFFSET($A$73,12,1,1,14))</f>
        <v>668.3021258</v>
      </c>
      <c r="Q85" s="2">
        <f ca="1">SUM(OFFSET($A$73,12,1,1,12))</f>
        <v>668.3021258</v>
      </c>
    </row>
    <row r="86" spans="1:17" x14ac:dyDescent="0.2">
      <c r="A86" s="1">
        <v>12</v>
      </c>
      <c r="B86" s="1">
        <v>0.40086379999999999</v>
      </c>
      <c r="C86" s="1">
        <v>4.2730199999999998</v>
      </c>
      <c r="D86" s="1">
        <v>32.694690000000001</v>
      </c>
      <c r="E86" s="1">
        <v>169.8184</v>
      </c>
      <c r="F86" s="1">
        <v>296.37630000000001</v>
      </c>
      <c r="G86" s="1">
        <v>11.806509999999999</v>
      </c>
      <c r="H86" s="1">
        <v>9.7616449999999997</v>
      </c>
      <c r="I86" s="1">
        <v>3.9532400000000001</v>
      </c>
      <c r="J86" s="1">
        <v>32.373170000000002</v>
      </c>
      <c r="K86" s="1">
        <v>0</v>
      </c>
      <c r="L86" s="1">
        <v>5.4561999999999996E-3</v>
      </c>
      <c r="M86" s="1">
        <v>0</v>
      </c>
      <c r="N86" s="1">
        <v>0</v>
      </c>
      <c r="O86" s="1">
        <v>0</v>
      </c>
      <c r="P86" s="1">
        <f ca="1">SUM(OFFSET($A$73,13,1,1,14))</f>
        <v>561.46329500000013</v>
      </c>
      <c r="Q86" s="2">
        <f ca="1">SUM(OFFSET($A$73,13,1,1,12))</f>
        <v>561.46329500000013</v>
      </c>
    </row>
    <row r="87" spans="1:17" x14ac:dyDescent="0.2">
      <c r="A87" s="1">
        <v>13</v>
      </c>
      <c r="B87" s="1">
        <v>1.01633E-2</v>
      </c>
      <c r="C87" s="1">
        <v>0.17196210000000001</v>
      </c>
      <c r="D87" s="1">
        <v>0.41931950000000001</v>
      </c>
      <c r="E87" s="1">
        <v>1.878949</v>
      </c>
      <c r="F87" s="1">
        <v>17.259119999999999</v>
      </c>
      <c r="G87" s="1">
        <v>1.9798519999999999</v>
      </c>
      <c r="H87" s="1">
        <v>7.4338699999999994E-2</v>
      </c>
      <c r="I87" s="1">
        <v>1.9585100000000001E-2</v>
      </c>
      <c r="J87" s="1">
        <v>1.7968</v>
      </c>
      <c r="K87" s="1">
        <v>0</v>
      </c>
      <c r="L87" s="1">
        <v>4.1502439999999998</v>
      </c>
      <c r="M87" s="1">
        <v>1.9146920000000001</v>
      </c>
      <c r="N87" s="1">
        <v>0</v>
      </c>
      <c r="O87" s="1">
        <v>0</v>
      </c>
      <c r="P87" s="1">
        <f ca="1">SUM(OFFSET($A$73,14,1,1,14))</f>
        <v>29.675025699999999</v>
      </c>
      <c r="Q87" s="2">
        <f ca="1">SUM(OFFSET($A$73,14,1,1,12))</f>
        <v>29.675025699999999</v>
      </c>
    </row>
    <row r="88" spans="1:17" x14ac:dyDescent="0.2">
      <c r="A88" s="1">
        <v>14</v>
      </c>
      <c r="B88" s="1">
        <v>8.3699999999999996E-4</v>
      </c>
      <c r="C88" s="1">
        <v>6.7675200000000005E-2</v>
      </c>
      <c r="D88" s="1">
        <v>2.3565320000000001</v>
      </c>
      <c r="E88" s="1">
        <v>5.561261</v>
      </c>
      <c r="F88" s="1">
        <v>19.475950000000001</v>
      </c>
      <c r="G88" s="1">
        <v>6.9618440000000001</v>
      </c>
      <c r="H88" s="1">
        <v>3.6126400000000003E-2</v>
      </c>
      <c r="I88" s="1">
        <v>0</v>
      </c>
      <c r="J88" s="1">
        <v>2.6895579999999999</v>
      </c>
      <c r="K88" s="1">
        <v>0</v>
      </c>
      <c r="L88" s="1">
        <v>17.560369999999999</v>
      </c>
      <c r="M88" s="1">
        <v>11.798859999999999</v>
      </c>
      <c r="N88" s="1">
        <v>0</v>
      </c>
      <c r="O88" s="1">
        <v>0</v>
      </c>
      <c r="P88" s="1">
        <f ca="1">SUM(OFFSET($A$73,15,1,1,14))</f>
        <v>66.509013600000003</v>
      </c>
      <c r="Q88" s="2">
        <f ca="1">SUM(OFFSET($A$73,15,1,1,12))</f>
        <v>66.509013600000003</v>
      </c>
    </row>
    <row r="89" spans="1:17" x14ac:dyDescent="0.2">
      <c r="A89" s="1" t="s">
        <v>43</v>
      </c>
      <c r="B89" s="1">
        <f ca="1">SUM(OFFSET($A$73,2,1,14,1))</f>
        <v>505.00744949999995</v>
      </c>
      <c r="C89" s="1">
        <f ca="1">SUM(OFFSET($A$73,2,2,14,1))</f>
        <v>1088.0694563</v>
      </c>
      <c r="D89" s="1">
        <f ca="1">SUM(OFFSET($A$73,2,3,14,1))</f>
        <v>4407.931081499999</v>
      </c>
      <c r="E89" s="1">
        <f ca="1">SUM(OFFSET($A$73,2,4,14,1))</f>
        <v>19303.209460000002</v>
      </c>
      <c r="F89" s="1">
        <f ca="1">SUM(OFFSET($A$73,2,5,14,1))</f>
        <v>21235.954769999997</v>
      </c>
      <c r="G89" s="1">
        <f ca="1">SUM(OFFSET($A$73,2,6,14,1))</f>
        <v>2569.1946169999997</v>
      </c>
      <c r="H89" s="1">
        <f ca="1">SUM(OFFSET($A$73,2,7,14,1))</f>
        <v>3865.3788460999999</v>
      </c>
      <c r="I89" s="1">
        <f ca="1">SUM(OFFSET($A$73,2,8,14,1))</f>
        <v>829.30140820000008</v>
      </c>
      <c r="J89" s="1">
        <f ca="1">SUM(OFFSET($A$73,2,9,14,1))</f>
        <v>8266.8812480000015</v>
      </c>
      <c r="K89" s="1">
        <f ca="1">SUM(OFFSET($A$73,2,10,14,1))</f>
        <v>576.88840359999995</v>
      </c>
      <c r="L89" s="1">
        <f ca="1">SUM(OFFSET($A$73,2,11,14,1))</f>
        <v>628.46944530000007</v>
      </c>
      <c r="M89" s="1">
        <f ca="1">SUM(OFFSET($A$73,2,12,14,1))</f>
        <v>500.11149499999999</v>
      </c>
      <c r="N89" s="1">
        <f ca="1">SUM(OFFSET($A$73,2,13,14,1))</f>
        <v>0</v>
      </c>
      <c r="O89" s="1">
        <f ca="1">SUM(OFFSET($A$73,2,14,14,1))</f>
        <v>7.9389350000000007</v>
      </c>
      <c r="P89" s="1">
        <f ca="1">SUM(OFFSET($A$73,16,1,1,14))</f>
        <v>63784.336615499997</v>
      </c>
      <c r="Q89" s="2">
        <f ca="1">SUM(OFFSET($A$73,16,1,1,12))</f>
        <v>63776.397680499998</v>
      </c>
    </row>
    <row r="90" spans="1:17" x14ac:dyDescent="0.2">
      <c r="O90" s="11" t="s">
        <v>59</v>
      </c>
      <c r="P90" s="1">
        <f ca="1">SUM(OFFSET($B$75,0,0,12,12))</f>
        <v>63680.213641200025</v>
      </c>
    </row>
    <row r="91" spans="1:17" x14ac:dyDescent="0.2">
      <c r="A91" s="1" t="s">
        <v>97</v>
      </c>
    </row>
    <row r="92" spans="1:17" x14ac:dyDescent="0.2">
      <c r="B92" s="1">
        <v>1</v>
      </c>
      <c r="C92" s="1">
        <v>2</v>
      </c>
      <c r="D92" s="1">
        <v>3</v>
      </c>
      <c r="E92" s="1">
        <v>4</v>
      </c>
      <c r="F92" s="1">
        <v>5</v>
      </c>
      <c r="G92" s="1">
        <v>6</v>
      </c>
      <c r="H92" s="1">
        <v>7</v>
      </c>
      <c r="I92" s="1">
        <v>8</v>
      </c>
      <c r="J92" s="1">
        <v>9</v>
      </c>
      <c r="K92" s="1">
        <v>10</v>
      </c>
      <c r="L92" s="1">
        <v>11</v>
      </c>
      <c r="M92" s="1">
        <v>12</v>
      </c>
      <c r="N92" s="1">
        <v>13</v>
      </c>
      <c r="O92" s="1">
        <v>14</v>
      </c>
      <c r="P92" s="1" t="s">
        <v>43</v>
      </c>
      <c r="Q92" s="2" t="s">
        <v>61</v>
      </c>
    </row>
    <row r="93" spans="1:17" x14ac:dyDescent="0.2">
      <c r="A93" s="1">
        <v>1</v>
      </c>
      <c r="B93" s="1">
        <v>48.393819999999998</v>
      </c>
      <c r="C93" s="1">
        <v>3.139786</v>
      </c>
      <c r="D93" s="1">
        <v>3.0792030000000001</v>
      </c>
      <c r="E93" s="1">
        <v>0.52435869999999996</v>
      </c>
      <c r="F93" s="1">
        <v>2.4956000000000002E-3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f ca="1">SUM(OFFSET($A$91,2,1,1,14))</f>
        <v>55.139663300000002</v>
      </c>
      <c r="Q93" s="2">
        <f ca="1">SUM(OFFSET($A$91,2,1,1,12))</f>
        <v>55.139663300000002</v>
      </c>
    </row>
    <row r="94" spans="1:17" x14ac:dyDescent="0.2">
      <c r="A94" s="1">
        <v>2</v>
      </c>
      <c r="B94" s="1">
        <v>7.5831530000000003</v>
      </c>
      <c r="C94" s="1">
        <v>485.1397</v>
      </c>
      <c r="D94" s="1">
        <v>14.46664</v>
      </c>
      <c r="E94" s="1">
        <v>23.104790000000001</v>
      </c>
      <c r="F94" s="1">
        <v>16.76022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f ca="1">SUM(OFFSET($A$91,3,1,1,14))</f>
        <v>547.05450299999995</v>
      </c>
      <c r="Q94" s="2">
        <f ca="1">SUM(OFFSET($A$91,3,1,1,12))</f>
        <v>547.05450299999995</v>
      </c>
    </row>
    <row r="95" spans="1:17" x14ac:dyDescent="0.2">
      <c r="A95" s="1">
        <v>3</v>
      </c>
      <c r="B95" s="1">
        <v>3.1165569999999998</v>
      </c>
      <c r="C95" s="1">
        <v>13.261559999999999</v>
      </c>
      <c r="D95" s="1">
        <v>568.56470000000002</v>
      </c>
      <c r="E95" s="1">
        <v>308.41520000000003</v>
      </c>
      <c r="F95" s="1">
        <v>9.8361400000000003</v>
      </c>
      <c r="G95" s="1">
        <v>0</v>
      </c>
      <c r="H95" s="1">
        <v>0.75422009999999995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f ca="1">SUM(OFFSET($A$91,4,1,1,14))</f>
        <v>903.94837710000002</v>
      </c>
      <c r="Q95" s="2">
        <f ca="1">SUM(OFFSET($A$91,4,1,1,12))</f>
        <v>903.94837710000002</v>
      </c>
    </row>
    <row r="96" spans="1:17" x14ac:dyDescent="0.2">
      <c r="A96" s="1">
        <v>4</v>
      </c>
      <c r="B96" s="1">
        <v>0.933195</v>
      </c>
      <c r="C96" s="1">
        <v>32.637779999999999</v>
      </c>
      <c r="D96" s="1">
        <v>389.1979</v>
      </c>
      <c r="E96" s="1">
        <v>4809.0860000000002</v>
      </c>
      <c r="F96" s="1">
        <v>191.79169999999999</v>
      </c>
      <c r="G96" s="1">
        <v>4.0345800000000001E-2</v>
      </c>
      <c r="H96" s="1">
        <v>39.406799999999997</v>
      </c>
      <c r="I96" s="1">
        <v>1.4441000000000001E-2</v>
      </c>
      <c r="J96" s="1">
        <v>3.3506999999999999E-3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f ca="1">SUM(OFFSET($A$91,5,1,1,14))</f>
        <v>5463.1115124999997</v>
      </c>
      <c r="Q96" s="2">
        <f ca="1">SUM(OFFSET($A$91,5,1,1,12))</f>
        <v>5463.1115124999997</v>
      </c>
    </row>
    <row r="97" spans="1:17" x14ac:dyDescent="0.2">
      <c r="A97" s="1">
        <v>5</v>
      </c>
      <c r="B97" s="1">
        <v>2.2699E-3</v>
      </c>
      <c r="C97" s="1">
        <v>19.88466</v>
      </c>
      <c r="D97" s="1">
        <v>11.14</v>
      </c>
      <c r="E97" s="1">
        <v>122.4936</v>
      </c>
      <c r="F97" s="1">
        <v>1355.6990000000001</v>
      </c>
      <c r="G97" s="1">
        <v>70.871070000000003</v>
      </c>
      <c r="H97" s="1">
        <v>2.8494600000000001</v>
      </c>
      <c r="I97" s="1">
        <v>0.95296320000000001</v>
      </c>
      <c r="J97" s="1">
        <v>39.081539999999997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f ca="1">SUM(OFFSET($A$91,6,1,1,14))</f>
        <v>1622.9745630999998</v>
      </c>
      <c r="Q97" s="2">
        <f ca="1">SUM(OFFSET($A$91,6,1,1,12))</f>
        <v>1622.9745630999998</v>
      </c>
    </row>
    <row r="98" spans="1:17" x14ac:dyDescent="0.2">
      <c r="A98" s="1">
        <v>6</v>
      </c>
      <c r="B98" s="1">
        <v>0</v>
      </c>
      <c r="C98" s="1">
        <v>0</v>
      </c>
      <c r="D98" s="1">
        <v>0</v>
      </c>
      <c r="E98" s="1">
        <v>4.9037799999999999E-2</v>
      </c>
      <c r="F98" s="1">
        <v>58.619950000000003</v>
      </c>
      <c r="G98" s="1">
        <v>310.03870000000001</v>
      </c>
      <c r="H98" s="1">
        <v>3.2450999999999999E-3</v>
      </c>
      <c r="I98" s="1">
        <v>4.8357000000000001E-3</v>
      </c>
      <c r="J98" s="1">
        <v>1.0671930000000001</v>
      </c>
      <c r="K98" s="1">
        <v>0</v>
      </c>
      <c r="L98" s="1">
        <v>2.6099480000000002</v>
      </c>
      <c r="M98" s="1">
        <v>1.1789600000000001E-2</v>
      </c>
      <c r="N98" s="1">
        <v>0</v>
      </c>
      <c r="O98" s="1">
        <v>0</v>
      </c>
      <c r="P98" s="1">
        <f ca="1">SUM(OFFSET($A$91,7,1,1,14))</f>
        <v>372.40469919999998</v>
      </c>
      <c r="Q98" s="2">
        <f ca="1">SUM(OFFSET($A$91,7,1,1,12))</f>
        <v>372.40469919999998</v>
      </c>
    </row>
    <row r="99" spans="1:17" x14ac:dyDescent="0.2">
      <c r="A99" s="1">
        <v>7</v>
      </c>
      <c r="B99" s="1">
        <v>0</v>
      </c>
      <c r="C99" s="1">
        <v>0</v>
      </c>
      <c r="D99" s="1">
        <v>0.61447050000000003</v>
      </c>
      <c r="E99" s="1">
        <v>23.3992</v>
      </c>
      <c r="F99" s="1">
        <v>2.5480260000000001</v>
      </c>
      <c r="G99" s="1">
        <v>1.8768999999999999E-3</v>
      </c>
      <c r="H99" s="1">
        <v>261.11559999999997</v>
      </c>
      <c r="I99" s="1">
        <v>0.66424910000000004</v>
      </c>
      <c r="J99" s="1">
        <v>7.7962500000000004E-2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f ca="1">SUM(OFFSET($A$91,8,1,1,14))</f>
        <v>288.42138499999999</v>
      </c>
      <c r="Q99" s="2">
        <f ca="1">SUM(OFFSET($A$91,8,1,1,12))</f>
        <v>288.42138499999999</v>
      </c>
    </row>
    <row r="100" spans="1:17" x14ac:dyDescent="0.2">
      <c r="A100" s="1">
        <v>8</v>
      </c>
      <c r="B100" s="1">
        <v>0</v>
      </c>
      <c r="C100" s="1">
        <v>0</v>
      </c>
      <c r="D100" s="1">
        <v>0</v>
      </c>
      <c r="E100" s="1">
        <v>1.4889400000000001E-2</v>
      </c>
      <c r="F100" s="1">
        <v>0.93806109999999998</v>
      </c>
      <c r="G100" s="1">
        <v>2.2967E-3</v>
      </c>
      <c r="H100" s="1">
        <v>0.3178105</v>
      </c>
      <c r="I100" s="1">
        <v>29.61309</v>
      </c>
      <c r="J100" s="1">
        <v>1.3238810000000001</v>
      </c>
      <c r="K100" s="1">
        <v>4.0187E-3</v>
      </c>
      <c r="L100" s="1">
        <v>0</v>
      </c>
      <c r="M100" s="1">
        <v>0</v>
      </c>
      <c r="N100" s="1">
        <v>0</v>
      </c>
      <c r="O100" s="1">
        <v>0</v>
      </c>
      <c r="P100" s="1">
        <f ca="1">SUM(OFFSET($A$91,9,1,1,14))</f>
        <v>32.214047399999998</v>
      </c>
      <c r="Q100" s="2">
        <f ca="1">SUM(OFFSET($A$91,9,1,1,12))</f>
        <v>32.214047399999998</v>
      </c>
    </row>
    <row r="101" spans="1:17" x14ac:dyDescent="0.2">
      <c r="A101" s="1">
        <v>9</v>
      </c>
      <c r="B101" s="1">
        <v>0</v>
      </c>
      <c r="C101" s="1">
        <v>0</v>
      </c>
      <c r="D101" s="1">
        <v>0</v>
      </c>
      <c r="E101" s="1">
        <v>5.5219999999999998E-4</v>
      </c>
      <c r="F101" s="1">
        <v>22.018450000000001</v>
      </c>
      <c r="G101" s="1">
        <v>0.62126040000000005</v>
      </c>
      <c r="H101" s="1">
        <v>8.4093500000000002E-2</v>
      </c>
      <c r="I101" s="1">
        <v>2.2640509999999998</v>
      </c>
      <c r="J101" s="1">
        <v>988.399</v>
      </c>
      <c r="K101" s="1">
        <v>2.364112</v>
      </c>
      <c r="L101" s="1">
        <v>0.1451152</v>
      </c>
      <c r="M101" s="1">
        <v>22.746970000000001</v>
      </c>
      <c r="N101" s="1">
        <v>0</v>
      </c>
      <c r="O101" s="1">
        <v>0</v>
      </c>
      <c r="P101" s="1">
        <f ca="1">SUM(OFFSET($A$91,10,1,1,14))</f>
        <v>1038.6436042999999</v>
      </c>
      <c r="Q101" s="2">
        <f ca="1">SUM(OFFSET($A$91,10,1,1,12))</f>
        <v>1038.6436042999999</v>
      </c>
    </row>
    <row r="102" spans="1:17" x14ac:dyDescent="0.2">
      <c r="A102" s="1">
        <v>10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1.1646E-3</v>
      </c>
      <c r="J102" s="1">
        <v>1.326111</v>
      </c>
      <c r="K102" s="1">
        <v>17.137139999999999</v>
      </c>
      <c r="L102" s="1">
        <v>0</v>
      </c>
      <c r="M102" s="1">
        <v>0.1055473</v>
      </c>
      <c r="N102" s="1">
        <v>0</v>
      </c>
      <c r="O102" s="1">
        <v>0</v>
      </c>
      <c r="P102" s="1">
        <f ca="1">SUM(OFFSET($A$91,11,1,1,14))</f>
        <v>18.5699629</v>
      </c>
      <c r="Q102" s="2">
        <f ca="1">SUM(OFFSET($A$91,11,1,1,12))</f>
        <v>18.5699629</v>
      </c>
    </row>
    <row r="103" spans="1:17" x14ac:dyDescent="0.2">
      <c r="A103" s="1">
        <v>11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2.4163800000000002</v>
      </c>
      <c r="H103" s="1">
        <v>0</v>
      </c>
      <c r="I103" s="1">
        <v>0</v>
      </c>
      <c r="J103" s="1">
        <v>0.12577559999999999</v>
      </c>
      <c r="K103" s="1">
        <v>0</v>
      </c>
      <c r="L103" s="1">
        <v>53.106940000000002</v>
      </c>
      <c r="M103" s="1">
        <v>0.44006879999999998</v>
      </c>
      <c r="N103" s="1">
        <v>5.1187999999999997E-2</v>
      </c>
      <c r="O103" s="1">
        <v>0</v>
      </c>
      <c r="P103" s="1">
        <f ca="1">SUM(OFFSET($A$91,12,1,1,14))</f>
        <v>56.140352400000005</v>
      </c>
      <c r="Q103" s="2">
        <f ca="1">SUM(OFFSET($A$91,12,1,1,12))</f>
        <v>56.089164400000001</v>
      </c>
    </row>
    <row r="104" spans="1:17" x14ac:dyDescent="0.2">
      <c r="A104" s="1">
        <v>12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1.15105E-2</v>
      </c>
      <c r="H104" s="1">
        <v>0</v>
      </c>
      <c r="I104" s="1">
        <v>0</v>
      </c>
      <c r="J104" s="1">
        <v>22.41798</v>
      </c>
      <c r="K104" s="1">
        <v>9.8369899999999996E-2</v>
      </c>
      <c r="L104" s="1">
        <v>0.52674259999999995</v>
      </c>
      <c r="M104" s="1">
        <v>201.4631</v>
      </c>
      <c r="N104" s="1">
        <v>0</v>
      </c>
      <c r="O104" s="1">
        <v>0.59544039999999998</v>
      </c>
      <c r="P104" s="1">
        <f ca="1">SUM(OFFSET($A$91,13,1,1,14))</f>
        <v>225.11314339999998</v>
      </c>
      <c r="Q104" s="2">
        <f ca="1">SUM(OFFSET($A$91,13,1,1,12))</f>
        <v>224.51770299999998</v>
      </c>
    </row>
    <row r="105" spans="1:17" x14ac:dyDescent="0.2">
      <c r="A105" s="1">
        <v>13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5.1211800000000002E-2</v>
      </c>
      <c r="M105" s="1">
        <v>0</v>
      </c>
      <c r="N105" s="1">
        <v>45.119810000000001</v>
      </c>
      <c r="O105" s="1">
        <v>0.47633560000000003</v>
      </c>
      <c r="P105" s="1">
        <f ca="1">SUM(OFFSET($A$91,14,1,1,14))</f>
        <v>45.647357399999997</v>
      </c>
      <c r="Q105" s="2">
        <f ca="1">SUM(OFFSET($A$91,14,1,1,12))</f>
        <v>5.1211800000000002E-2</v>
      </c>
    </row>
    <row r="106" spans="1:17" x14ac:dyDescent="0.2">
      <c r="A106" s="1">
        <v>14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0.58658600000000005</v>
      </c>
      <c r="N106" s="1">
        <v>0.48850850000000001</v>
      </c>
      <c r="O106" s="1">
        <v>606.18510000000003</v>
      </c>
      <c r="P106" s="1">
        <f ca="1">SUM(OFFSET($A$91,15,1,1,14))</f>
        <v>607.26019450000001</v>
      </c>
      <c r="Q106" s="2">
        <f ca="1">SUM(OFFSET($A$91,15,1,1,12))</f>
        <v>0.58658600000000005</v>
      </c>
    </row>
    <row r="107" spans="1:17" x14ac:dyDescent="0.2">
      <c r="A107" s="1" t="s">
        <v>43</v>
      </c>
      <c r="B107" s="1">
        <f ca="1">SUM(OFFSET($A$91,2,1,14,1))</f>
        <v>60.028994900000001</v>
      </c>
      <c r="C107" s="1">
        <f ca="1">SUM(OFFSET($A$91,2,2,14,1))</f>
        <v>554.06348600000001</v>
      </c>
      <c r="D107" s="1">
        <f ca="1">SUM(OFFSET($A$91,2,3,14,1))</f>
        <v>987.06291350000004</v>
      </c>
      <c r="E107" s="1">
        <f ca="1">SUM(OFFSET($A$91,2,4,14,1))</f>
        <v>5287.087628100001</v>
      </c>
      <c r="F107" s="1">
        <f ca="1">SUM(OFFSET($A$91,2,5,14,1))</f>
        <v>1658.2140426999999</v>
      </c>
      <c r="G107" s="1">
        <f ca="1">SUM(OFFSET($A$91,2,6,14,1))</f>
        <v>384.00344029999997</v>
      </c>
      <c r="H107" s="1">
        <f ca="1">SUM(OFFSET($A$91,2,7,14,1))</f>
        <v>304.53122919999998</v>
      </c>
      <c r="I107" s="1">
        <f ca="1">SUM(OFFSET($A$91,2,8,14,1))</f>
        <v>33.514794600000002</v>
      </c>
      <c r="J107" s="1">
        <f ca="1">SUM(OFFSET($A$91,2,9,14,1))</f>
        <v>1053.8227938</v>
      </c>
      <c r="K107" s="1">
        <f ca="1">SUM(OFFSET($A$91,2,10,14,1))</f>
        <v>19.603640599999999</v>
      </c>
      <c r="L107" s="1">
        <f ca="1">SUM(OFFSET($A$91,2,11,14,1))</f>
        <v>56.4399576</v>
      </c>
      <c r="M107" s="1">
        <f ca="1">SUM(OFFSET($A$91,2,12,14,1))</f>
        <v>225.35406170000002</v>
      </c>
      <c r="N107" s="1">
        <f ca="1">SUM(OFFSET($A$91,2,13,14,1))</f>
        <v>45.659506500000006</v>
      </c>
      <c r="O107" s="1">
        <f ca="1">SUM(OFFSET($A$91,2,14,14,1))</f>
        <v>607.25687600000003</v>
      </c>
      <c r="P107" s="1">
        <f ca="1">SUM(OFFSET($A$91,16,1,1,14))</f>
        <v>11276.643365499998</v>
      </c>
      <c r="Q107" s="2">
        <f ca="1">SUM(OFFSET($A$91,16,1,1,12))</f>
        <v>10623.726982999999</v>
      </c>
    </row>
    <row r="108" spans="1:17" x14ac:dyDescent="0.2">
      <c r="O108" s="11" t="s">
        <v>59</v>
      </c>
      <c r="P108" s="1">
        <f ca="1">SUM(OFFSET($B$93,0,0,12,12))</f>
        <v>10623.089185199997</v>
      </c>
    </row>
    <row r="109" spans="1:17" x14ac:dyDescent="0.2">
      <c r="A109" s="1" t="s">
        <v>99</v>
      </c>
    </row>
    <row r="110" spans="1:17" x14ac:dyDescent="0.2">
      <c r="B110" s="1">
        <v>1</v>
      </c>
      <c r="C110" s="1">
        <v>2</v>
      </c>
      <c r="D110" s="1">
        <v>3</v>
      </c>
      <c r="E110" s="1">
        <v>4</v>
      </c>
      <c r="F110" s="1">
        <v>5</v>
      </c>
      <c r="G110" s="1">
        <v>6</v>
      </c>
      <c r="H110" s="1">
        <v>7</v>
      </c>
      <c r="I110" s="1">
        <v>8</v>
      </c>
      <c r="J110" s="1">
        <v>9</v>
      </c>
      <c r="K110" s="1">
        <v>10</v>
      </c>
      <c r="L110" s="1">
        <v>11</v>
      </c>
      <c r="M110" s="1">
        <v>12</v>
      </c>
      <c r="N110" s="1">
        <v>13</v>
      </c>
      <c r="O110" s="1">
        <v>14</v>
      </c>
      <c r="P110" s="1" t="s">
        <v>43</v>
      </c>
      <c r="Q110" s="2" t="s">
        <v>61</v>
      </c>
    </row>
    <row r="111" spans="1:17" x14ac:dyDescent="0.2">
      <c r="A111" s="1">
        <v>1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f ca="1">SUM(OFFSET($A$109,2,1,1,14))</f>
        <v>0</v>
      </c>
      <c r="Q111" s="2">
        <f ca="1">SUM(OFFSET($A$109,2,1,1,12))</f>
        <v>0</v>
      </c>
    </row>
    <row r="112" spans="1:17" x14ac:dyDescent="0.2">
      <c r="A112" s="1">
        <v>2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f ca="1">SUM(OFFSET($A$109,3,1,1,14))</f>
        <v>0</v>
      </c>
      <c r="Q112" s="2">
        <f ca="1">SUM(OFFSET($A$109,3,1,1,12))</f>
        <v>0</v>
      </c>
    </row>
    <row r="113" spans="1:17" x14ac:dyDescent="0.2">
      <c r="A113" s="1">
        <v>3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f ca="1">SUM(OFFSET($A$109,4,1,1,14))</f>
        <v>0</v>
      </c>
      <c r="Q113" s="2">
        <f ca="1">SUM(OFFSET($A$109,4,1,1,12))</f>
        <v>0</v>
      </c>
    </row>
    <row r="114" spans="1:17" x14ac:dyDescent="0.2">
      <c r="A114" s="1">
        <v>4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f ca="1">SUM(OFFSET($A$109,5,1,1,14))</f>
        <v>0</v>
      </c>
      <c r="Q114" s="2">
        <f ca="1">SUM(OFFSET($A$109,5,1,1,12))</f>
        <v>0</v>
      </c>
    </row>
    <row r="115" spans="1:17" x14ac:dyDescent="0.2">
      <c r="A115" s="1">
        <v>5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f ca="1">SUM(OFFSET($A$109,6,1,1,14))</f>
        <v>0</v>
      </c>
      <c r="Q115" s="2">
        <f ca="1">SUM(OFFSET($A$109,6,1,1,12))</f>
        <v>0</v>
      </c>
    </row>
    <row r="116" spans="1:17" x14ac:dyDescent="0.2">
      <c r="A116" s="1">
        <v>6</v>
      </c>
      <c r="B116" s="1">
        <v>0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f ca="1">SUM(OFFSET($A$109,7,1,1,14))</f>
        <v>0</v>
      </c>
      <c r="Q116" s="2">
        <f ca="1">SUM(OFFSET($A$109,7,1,1,12))</f>
        <v>0</v>
      </c>
    </row>
    <row r="117" spans="1:17" x14ac:dyDescent="0.2">
      <c r="A117" s="1">
        <v>7</v>
      </c>
      <c r="B117" s="1">
        <v>0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f ca="1">SUM(OFFSET($A$109,8,1,1,14))</f>
        <v>0</v>
      </c>
      <c r="Q117" s="2">
        <f ca="1">SUM(OFFSET($A$109,8,1,1,12))</f>
        <v>0</v>
      </c>
    </row>
    <row r="118" spans="1:17" x14ac:dyDescent="0.2">
      <c r="A118" s="1">
        <v>8</v>
      </c>
      <c r="B118" s="1">
        <v>0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f ca="1">SUM(OFFSET($A$109,9,1,1,14))</f>
        <v>0</v>
      </c>
      <c r="Q118" s="2">
        <f ca="1">SUM(OFFSET($A$109,9,1,1,12))</f>
        <v>0</v>
      </c>
    </row>
    <row r="119" spans="1:17" x14ac:dyDescent="0.2">
      <c r="A119" s="1">
        <v>9</v>
      </c>
      <c r="B119" s="1">
        <v>0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f ca="1">SUM(OFFSET($A$109,10,1,1,14))</f>
        <v>0</v>
      </c>
      <c r="Q119" s="2">
        <f ca="1">SUM(OFFSET($A$109,10,1,1,12))</f>
        <v>0</v>
      </c>
    </row>
    <row r="120" spans="1:17" x14ac:dyDescent="0.2">
      <c r="A120" s="1">
        <v>10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f ca="1">SUM(OFFSET($A$109,11,1,1,14))</f>
        <v>0</v>
      </c>
      <c r="Q120" s="2">
        <f ca="1">SUM(OFFSET($A$109,11,1,1,12))</f>
        <v>0</v>
      </c>
    </row>
    <row r="121" spans="1:17" x14ac:dyDescent="0.2">
      <c r="A121" s="1">
        <v>11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f ca="1">SUM(OFFSET($A$109,12,1,1,14))</f>
        <v>0</v>
      </c>
      <c r="Q121" s="2">
        <f ca="1">SUM(OFFSET($A$109,12,1,1,12))</f>
        <v>0</v>
      </c>
    </row>
    <row r="122" spans="1:17" x14ac:dyDescent="0.2">
      <c r="A122" s="1">
        <v>12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f ca="1">SUM(OFFSET($A$109,13,1,1,14))</f>
        <v>0</v>
      </c>
      <c r="Q122" s="2">
        <f ca="1">SUM(OFFSET($A$109,13,1,1,12))</f>
        <v>0</v>
      </c>
    </row>
    <row r="123" spans="1:17" x14ac:dyDescent="0.2">
      <c r="A123" s="1">
        <v>13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f ca="1">SUM(OFFSET($A$109,14,1,1,14))</f>
        <v>0</v>
      </c>
      <c r="Q123" s="2">
        <f ca="1">SUM(OFFSET($A$109,14,1,1,12))</f>
        <v>0</v>
      </c>
    </row>
    <row r="124" spans="1:17" x14ac:dyDescent="0.2">
      <c r="A124" s="1">
        <v>14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f ca="1">SUM(OFFSET($A$109,15,1,1,14))</f>
        <v>0</v>
      </c>
      <c r="Q124" s="2">
        <f ca="1">SUM(OFFSET($A$109,15,1,1,12))</f>
        <v>0</v>
      </c>
    </row>
    <row r="125" spans="1:17" x14ac:dyDescent="0.2">
      <c r="A125" s="1" t="s">
        <v>43</v>
      </c>
      <c r="B125" s="1">
        <f ca="1">SUM(OFFSET($A$109,2,1,14,1))</f>
        <v>0</v>
      </c>
      <c r="C125" s="1">
        <f ca="1">SUM(OFFSET($A$109,2,2,14,1))</f>
        <v>0</v>
      </c>
      <c r="D125" s="1">
        <f ca="1">SUM(OFFSET($A$109,2,3,14,1))</f>
        <v>0</v>
      </c>
      <c r="E125" s="1">
        <f ca="1">SUM(OFFSET($A$109,2,4,14,1))</f>
        <v>0</v>
      </c>
      <c r="F125" s="1">
        <f ca="1">SUM(OFFSET($A$109,2,5,14,1))</f>
        <v>0</v>
      </c>
      <c r="G125" s="1">
        <f ca="1">SUM(OFFSET($A$109,2,6,14,1))</f>
        <v>0</v>
      </c>
      <c r="H125" s="1">
        <f ca="1">SUM(OFFSET($A$109,2,7,14,1))</f>
        <v>0</v>
      </c>
      <c r="I125" s="1">
        <f ca="1">SUM(OFFSET($A$109,2,8,14,1))</f>
        <v>0</v>
      </c>
      <c r="J125" s="1">
        <f ca="1">SUM(OFFSET($A$109,2,9,14,1))</f>
        <v>0</v>
      </c>
      <c r="K125" s="1">
        <f ca="1">SUM(OFFSET($A$109,2,10,14,1))</f>
        <v>0</v>
      </c>
      <c r="L125" s="1">
        <f ca="1">SUM(OFFSET($A$109,2,11,14,1))</f>
        <v>0</v>
      </c>
      <c r="M125" s="1">
        <f ca="1">SUM(OFFSET($A$109,2,12,14,1))</f>
        <v>0</v>
      </c>
      <c r="N125" s="1">
        <f ca="1">SUM(OFFSET($A$109,2,13,14,1))</f>
        <v>0</v>
      </c>
      <c r="O125" s="1">
        <f ca="1">SUM(OFFSET($A$109,2,14,14,1))</f>
        <v>0</v>
      </c>
      <c r="P125" s="1">
        <f ca="1">SUM(OFFSET($A$109,16,1,1,14))</f>
        <v>0</v>
      </c>
      <c r="Q125" s="2">
        <f ca="1">SUM(OFFSET($A$109,16,1,1,12))</f>
        <v>0</v>
      </c>
    </row>
    <row r="126" spans="1:17" x14ac:dyDescent="0.2">
      <c r="O126" s="11" t="s">
        <v>59</v>
      </c>
      <c r="P126" s="1">
        <f ca="1">SUM(OFFSET($B$111,0,0,12,12))</f>
        <v>0</v>
      </c>
    </row>
    <row r="127" spans="1:17" x14ac:dyDescent="0.2">
      <c r="A127" s="1" t="s">
        <v>101</v>
      </c>
    </row>
    <row r="128" spans="1:17" x14ac:dyDescent="0.2">
      <c r="B128" s="1">
        <v>1</v>
      </c>
      <c r="C128" s="1">
        <v>2</v>
      </c>
      <c r="D128" s="1">
        <v>3</v>
      </c>
      <c r="E128" s="1">
        <v>4</v>
      </c>
      <c r="F128" s="1">
        <v>5</v>
      </c>
      <c r="G128" s="1">
        <v>6</v>
      </c>
      <c r="H128" s="1">
        <v>7</v>
      </c>
      <c r="I128" s="1">
        <v>8</v>
      </c>
      <c r="J128" s="1">
        <v>9</v>
      </c>
      <c r="K128" s="1">
        <v>10</v>
      </c>
      <c r="L128" s="1">
        <v>11</v>
      </c>
      <c r="M128" s="1">
        <v>12</v>
      </c>
      <c r="N128" s="1">
        <v>13</v>
      </c>
      <c r="O128" s="1">
        <v>14</v>
      </c>
      <c r="P128" s="1" t="s">
        <v>43</v>
      </c>
      <c r="Q128" s="2" t="s">
        <v>61</v>
      </c>
    </row>
    <row r="129" spans="1:17" x14ac:dyDescent="0.2">
      <c r="A129" s="1">
        <v>1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f ca="1">SUM(OFFSET($A$127,2,1,1,14))</f>
        <v>0</v>
      </c>
      <c r="Q129" s="2">
        <f ca="1">SUM(OFFSET($A$127,2,1,1,12))</f>
        <v>0</v>
      </c>
    </row>
    <row r="130" spans="1:17" x14ac:dyDescent="0.2">
      <c r="A130" s="1">
        <v>2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f ca="1">SUM(OFFSET($A$127,3,1,1,14))</f>
        <v>0</v>
      </c>
      <c r="Q130" s="2">
        <f ca="1">SUM(OFFSET($A$127,3,1,1,12))</f>
        <v>0</v>
      </c>
    </row>
    <row r="131" spans="1:17" x14ac:dyDescent="0.2">
      <c r="A131" s="1">
        <v>3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f ca="1">SUM(OFFSET($A$127,4,1,1,14))</f>
        <v>0</v>
      </c>
      <c r="Q131" s="2">
        <f ca="1">SUM(OFFSET($A$127,4,1,1,12))</f>
        <v>0</v>
      </c>
    </row>
    <row r="132" spans="1:17" x14ac:dyDescent="0.2">
      <c r="A132" s="1">
        <v>4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f ca="1">SUM(OFFSET($A$127,5,1,1,14))</f>
        <v>0</v>
      </c>
      <c r="Q132" s="2">
        <f ca="1">SUM(OFFSET($A$127,5,1,1,12))</f>
        <v>0</v>
      </c>
    </row>
    <row r="133" spans="1:17" x14ac:dyDescent="0.2">
      <c r="A133" s="1">
        <v>5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f ca="1">SUM(OFFSET($A$127,6,1,1,14))</f>
        <v>0</v>
      </c>
      <c r="Q133" s="2">
        <f ca="1">SUM(OFFSET($A$127,6,1,1,12))</f>
        <v>0</v>
      </c>
    </row>
    <row r="134" spans="1:17" x14ac:dyDescent="0.2">
      <c r="A134" s="1">
        <v>6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f ca="1">SUM(OFFSET($A$127,7,1,1,14))</f>
        <v>0</v>
      </c>
      <c r="Q134" s="2">
        <f ca="1">SUM(OFFSET($A$127,7,1,1,12))</f>
        <v>0</v>
      </c>
    </row>
    <row r="135" spans="1:17" x14ac:dyDescent="0.2">
      <c r="A135" s="1">
        <v>7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f ca="1">SUM(OFFSET($A$127,8,1,1,14))</f>
        <v>0</v>
      </c>
      <c r="Q135" s="2">
        <f ca="1">SUM(OFFSET($A$127,8,1,1,12))</f>
        <v>0</v>
      </c>
    </row>
    <row r="136" spans="1:17" x14ac:dyDescent="0.2">
      <c r="A136" s="1">
        <v>8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f ca="1">SUM(OFFSET($A$127,9,1,1,14))</f>
        <v>0</v>
      </c>
      <c r="Q136" s="2">
        <f ca="1">SUM(OFFSET($A$127,9,1,1,12))</f>
        <v>0</v>
      </c>
    </row>
    <row r="137" spans="1:17" x14ac:dyDescent="0.2">
      <c r="A137" s="1">
        <v>9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f ca="1">SUM(OFFSET($A$127,10,1,1,14))</f>
        <v>0</v>
      </c>
      <c r="Q137" s="2">
        <f ca="1">SUM(OFFSET($A$127,10,1,1,12))</f>
        <v>0</v>
      </c>
    </row>
    <row r="138" spans="1:17" x14ac:dyDescent="0.2">
      <c r="A138" s="1">
        <v>10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f ca="1">SUM(OFFSET($A$127,11,1,1,14))</f>
        <v>0</v>
      </c>
      <c r="Q138" s="2">
        <f ca="1">SUM(OFFSET($A$127,11,1,1,12))</f>
        <v>0</v>
      </c>
    </row>
    <row r="139" spans="1:17" x14ac:dyDescent="0.2">
      <c r="A139" s="1">
        <v>11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f ca="1">SUM(OFFSET($A$127,12,1,1,14))</f>
        <v>0</v>
      </c>
      <c r="Q139" s="2">
        <f ca="1">SUM(OFFSET($A$127,12,1,1,12))</f>
        <v>0</v>
      </c>
    </row>
    <row r="140" spans="1:17" x14ac:dyDescent="0.2">
      <c r="A140" s="1">
        <v>12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f ca="1">SUM(OFFSET($A$127,13,1,1,14))</f>
        <v>0</v>
      </c>
      <c r="Q140" s="2">
        <f ca="1">SUM(OFFSET($A$127,13,1,1,12))</f>
        <v>0</v>
      </c>
    </row>
    <row r="141" spans="1:17" x14ac:dyDescent="0.2">
      <c r="A141" s="1">
        <v>13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f ca="1">SUM(OFFSET($A$127,14,1,1,14))</f>
        <v>0</v>
      </c>
      <c r="Q141" s="2">
        <f ca="1">SUM(OFFSET($A$127,14,1,1,12))</f>
        <v>0</v>
      </c>
    </row>
    <row r="142" spans="1:17" x14ac:dyDescent="0.2">
      <c r="A142" s="1">
        <v>14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f ca="1">SUM(OFFSET($A$127,15,1,1,14))</f>
        <v>0</v>
      </c>
      <c r="Q142" s="2">
        <f ca="1">SUM(OFFSET($A$127,15,1,1,12))</f>
        <v>0</v>
      </c>
    </row>
    <row r="143" spans="1:17" x14ac:dyDescent="0.2">
      <c r="A143" s="1" t="s">
        <v>43</v>
      </c>
      <c r="B143" s="1">
        <f ca="1">SUM(OFFSET($A$127,2,1,14,1))</f>
        <v>0</v>
      </c>
      <c r="C143" s="1">
        <f ca="1">SUM(OFFSET($A$127,2,2,14,1))</f>
        <v>0</v>
      </c>
      <c r="D143" s="1">
        <f ca="1">SUM(OFFSET($A$127,2,3,14,1))</f>
        <v>0</v>
      </c>
      <c r="E143" s="1">
        <f ca="1">SUM(OFFSET($A$127,2,4,14,1))</f>
        <v>0</v>
      </c>
      <c r="F143" s="1">
        <f ca="1">SUM(OFFSET($A$127,2,5,14,1))</f>
        <v>0</v>
      </c>
      <c r="G143" s="1">
        <f ca="1">SUM(OFFSET($A$127,2,6,14,1))</f>
        <v>0</v>
      </c>
      <c r="H143" s="1">
        <f ca="1">SUM(OFFSET($A$127,2,7,14,1))</f>
        <v>0</v>
      </c>
      <c r="I143" s="1">
        <f ca="1">SUM(OFFSET($A$127,2,8,14,1))</f>
        <v>0</v>
      </c>
      <c r="J143" s="1">
        <f ca="1">SUM(OFFSET($A$127,2,9,14,1))</f>
        <v>0</v>
      </c>
      <c r="K143" s="1">
        <f ca="1">SUM(OFFSET($A$127,2,10,14,1))</f>
        <v>0</v>
      </c>
      <c r="L143" s="1">
        <f ca="1">SUM(OFFSET($A$127,2,11,14,1))</f>
        <v>0</v>
      </c>
      <c r="M143" s="1">
        <f ca="1">SUM(OFFSET($A$127,2,12,14,1))</f>
        <v>0</v>
      </c>
      <c r="N143" s="1">
        <f ca="1">SUM(OFFSET($A$127,2,13,14,1))</f>
        <v>0</v>
      </c>
      <c r="O143" s="1">
        <f ca="1">SUM(OFFSET($A$127,2,14,14,1))</f>
        <v>0</v>
      </c>
      <c r="P143" s="1">
        <f ca="1">SUM(OFFSET($A$127,16,1,1,14))</f>
        <v>0</v>
      </c>
      <c r="Q143" s="2">
        <f ca="1">SUM(OFFSET($A$127,16,1,1,12))</f>
        <v>0</v>
      </c>
    </row>
    <row r="144" spans="1:17" x14ac:dyDescent="0.2">
      <c r="O144" s="11" t="s">
        <v>59</v>
      </c>
      <c r="P144" s="1">
        <f ca="1">SUM(OFFSET($B$129,0,0,12,12))</f>
        <v>0</v>
      </c>
    </row>
  </sheetData>
  <pageMargins left="0.25" right="0.25" top="0.75" bottom="0.75" header="0.3" footer="0.3"/>
  <pageSetup orientation="portrait" r:id="rId1"/>
  <headerFooter>
    <oddFooter>&amp;L&amp;"-,Italic"&amp;7&amp;F&amp;R&amp;"-,Italic"&amp;6&amp;D  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15" width="6.28515625" style="7"/>
    <col min="16" max="17" width="7.7109375" style="7" customWidth="1"/>
    <col min="18" max="18" width="40.7109375" style="7" customWidth="1"/>
    <col min="19" max="16384" width="6.28515625" style="7"/>
  </cols>
  <sheetData>
    <row r="1" spans="1:20" x14ac:dyDescent="0.2">
      <c r="A1" s="7" t="s">
        <v>87</v>
      </c>
    </row>
    <row r="2" spans="1:20" x14ac:dyDescent="0.2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 t="s">
        <v>43</v>
      </c>
      <c r="Q2" s="7" t="s">
        <v>61</v>
      </c>
      <c r="R2" s="7" t="s">
        <v>86</v>
      </c>
      <c r="S2" s="7">
        <f ca="1">OFFSET(A1,16,15)</f>
        <v>188768.32525639998</v>
      </c>
      <c r="T2" s="7">
        <f ca="1">OFFSET(A1,17,15)</f>
        <v>166310.81498910001</v>
      </c>
    </row>
    <row r="3" spans="1:20" x14ac:dyDescent="0.2">
      <c r="A3" s="7">
        <v>1</v>
      </c>
      <c r="B3" s="7">
        <v>2629.35</v>
      </c>
      <c r="C3" s="7">
        <v>924.88959999999997</v>
      </c>
      <c r="D3" s="7">
        <v>88.157899999999998</v>
      </c>
      <c r="E3" s="7">
        <v>70.883139999999997</v>
      </c>
      <c r="F3" s="7">
        <v>25.353000000000002</v>
      </c>
      <c r="G3" s="7">
        <v>1.2047920000000001</v>
      </c>
      <c r="H3" s="7">
        <v>1.627734</v>
      </c>
      <c r="I3" s="7">
        <v>3.4421999999999999E-3</v>
      </c>
      <c r="J3" s="7">
        <v>0.2215472</v>
      </c>
      <c r="K3" s="7">
        <v>1.6666999999999999E-3</v>
      </c>
      <c r="L3" s="7">
        <v>2.18905E-2</v>
      </c>
      <c r="M3" s="7">
        <v>2.2380999999999998E-3</v>
      </c>
      <c r="N3" s="7">
        <v>8.1000000000000004E-6</v>
      </c>
      <c r="O3" s="7">
        <v>7.7999999999999999E-6</v>
      </c>
      <c r="P3" s="7">
        <f ca="1">SUM(OFFSET($A$1,2,1,1,14))</f>
        <v>3741.7169665999995</v>
      </c>
      <c r="Q3" s="7">
        <f ca="1">SUM(OFFSET($A$1,2,1,1,12))</f>
        <v>3741.7169506999999</v>
      </c>
      <c r="R3" s="7" t="s">
        <v>88</v>
      </c>
      <c r="S3" s="7">
        <f ca="1">OFFSET(A1,34,15)</f>
        <v>464609.87934650003</v>
      </c>
      <c r="T3" s="7">
        <f ca="1">OFFSET(A1,35,15)</f>
        <v>407061.21912299999</v>
      </c>
    </row>
    <row r="4" spans="1:20" x14ac:dyDescent="0.2">
      <c r="A4" s="7">
        <v>2</v>
      </c>
      <c r="B4" s="7">
        <v>922.19809999999995</v>
      </c>
      <c r="C4" s="7">
        <v>9273.9359999999997</v>
      </c>
      <c r="D4" s="7">
        <v>213.13640000000001</v>
      </c>
      <c r="E4" s="7">
        <v>460.8931</v>
      </c>
      <c r="F4" s="7">
        <v>223.48490000000001</v>
      </c>
      <c r="G4" s="7">
        <v>20.58436</v>
      </c>
      <c r="H4" s="7">
        <v>9.540972</v>
      </c>
      <c r="I4" s="7">
        <v>3.1498100000000001E-2</v>
      </c>
      <c r="J4" s="7">
        <v>2.7504240000000002</v>
      </c>
      <c r="K4" s="7">
        <v>1.06958E-2</v>
      </c>
      <c r="L4" s="7">
        <v>0.80597200000000002</v>
      </c>
      <c r="M4" s="7">
        <v>8.2820900000000003E-2</v>
      </c>
      <c r="N4" s="7">
        <v>1.3329999999999999E-4</v>
      </c>
      <c r="O4" s="7">
        <v>2.8810000000000001E-4</v>
      </c>
      <c r="P4" s="7">
        <f ca="1">SUM(OFFSET($A$1,3,1,1,14))</f>
        <v>11127.455664199997</v>
      </c>
      <c r="Q4" s="7">
        <f ca="1">SUM(OFFSET($A$1,3,1,1,12))</f>
        <v>11127.455242799997</v>
      </c>
      <c r="R4" s="7" t="s">
        <v>90</v>
      </c>
      <c r="S4" s="7">
        <f ca="1">OFFSET(A1,52,15)</f>
        <v>0</v>
      </c>
      <c r="T4" s="7">
        <f ca="1">OFFSET(A1,53,15)</f>
        <v>0</v>
      </c>
    </row>
    <row r="5" spans="1:20" x14ac:dyDescent="0.2">
      <c r="A5" s="7">
        <v>3</v>
      </c>
      <c r="B5" s="7">
        <v>100.1682</v>
      </c>
      <c r="C5" s="7">
        <v>240.11490000000001</v>
      </c>
      <c r="D5" s="7">
        <v>1515.345</v>
      </c>
      <c r="E5" s="7">
        <v>2211.8490000000002</v>
      </c>
      <c r="F5" s="7">
        <v>155.50049999999999</v>
      </c>
      <c r="G5" s="7">
        <v>10.864369999999999</v>
      </c>
      <c r="H5" s="7">
        <v>72.704849999999993</v>
      </c>
      <c r="I5" s="7">
        <v>0.56346149999999995</v>
      </c>
      <c r="J5" s="7">
        <v>2.094354</v>
      </c>
      <c r="K5" s="7">
        <v>0.1868369</v>
      </c>
      <c r="L5" s="7">
        <v>0.43676090000000001</v>
      </c>
      <c r="M5" s="7">
        <v>4.79097E-2</v>
      </c>
      <c r="N5" s="7">
        <v>1.6449999999999999E-4</v>
      </c>
      <c r="O5" s="7">
        <v>7.7200000000000006E-5</v>
      </c>
      <c r="P5" s="7">
        <f ca="1">SUM(OFFSET($A$1,4,1,1,14))</f>
        <v>4309.8763847000009</v>
      </c>
      <c r="Q5" s="7">
        <f ca="1">SUM(OFFSET($A$1,4,1,1,12))</f>
        <v>4309.8761430000004</v>
      </c>
      <c r="R5" s="7" t="s">
        <v>92</v>
      </c>
      <c r="S5" s="7">
        <f ca="1">OFFSET(A1,70,15)</f>
        <v>5555.1504461000022</v>
      </c>
      <c r="T5" s="7">
        <f ca="1">OFFSET(A1,71,15)</f>
        <v>5365.5757210000047</v>
      </c>
    </row>
    <row r="6" spans="1:20" x14ac:dyDescent="0.2">
      <c r="A6" s="7">
        <v>4</v>
      </c>
      <c r="B6" s="7">
        <v>72.369979999999998</v>
      </c>
      <c r="C6" s="7">
        <v>465.5102</v>
      </c>
      <c r="D6" s="7">
        <v>1956.914</v>
      </c>
      <c r="E6" s="7">
        <v>29144.2</v>
      </c>
      <c r="F6" s="7">
        <v>1963.0119999999999</v>
      </c>
      <c r="G6" s="7">
        <v>166.82980000000001</v>
      </c>
      <c r="H6" s="7">
        <v>1099.1389999999999</v>
      </c>
      <c r="I6" s="7">
        <v>35.903799999999997</v>
      </c>
      <c r="J6" s="7">
        <v>175.90350000000001</v>
      </c>
      <c r="K6" s="7">
        <v>7.5094240000000001</v>
      </c>
      <c r="L6" s="7">
        <v>7.5648049999999998</v>
      </c>
      <c r="M6" s="7">
        <v>0.409968</v>
      </c>
      <c r="N6" s="7">
        <v>2.8352999999999998E-3</v>
      </c>
      <c r="O6" s="7">
        <v>2.8768000000000001E-3</v>
      </c>
      <c r="P6" s="7">
        <f ca="1">SUM(OFFSET($A$1,5,1,1,14))</f>
        <v>35095.272189100011</v>
      </c>
      <c r="Q6" s="7">
        <f ca="1">SUM(OFFSET($A$1,5,1,1,12))</f>
        <v>35095.266477000012</v>
      </c>
      <c r="R6" s="7" t="s">
        <v>94</v>
      </c>
      <c r="S6" s="7">
        <f ca="1">OFFSET(A1,88,15)</f>
        <v>2622.8561864000003</v>
      </c>
      <c r="T6" s="7">
        <f ca="1">OFFSET(A1,89,15)</f>
        <v>2622.6463903000008</v>
      </c>
    </row>
    <row r="7" spans="1:20" x14ac:dyDescent="0.2">
      <c r="A7" s="7">
        <v>5</v>
      </c>
      <c r="B7" s="7">
        <v>25.474119999999999</v>
      </c>
      <c r="C7" s="7">
        <v>224.4246</v>
      </c>
      <c r="D7" s="7">
        <v>127.69710000000001</v>
      </c>
      <c r="E7" s="7">
        <v>1964.047</v>
      </c>
      <c r="F7" s="7">
        <v>14600.64</v>
      </c>
      <c r="G7" s="7">
        <v>1318.114</v>
      </c>
      <c r="H7" s="7">
        <v>408.97590000000002</v>
      </c>
      <c r="I7" s="7">
        <v>15.237259999999999</v>
      </c>
      <c r="J7" s="7">
        <v>347.8691</v>
      </c>
      <c r="K7" s="7">
        <v>13.638730000000001</v>
      </c>
      <c r="L7" s="7">
        <v>91.701499999999996</v>
      </c>
      <c r="M7" s="7">
        <v>13.3423</v>
      </c>
      <c r="N7" s="7">
        <v>4.4326999999999998E-2</v>
      </c>
      <c r="O7" s="7">
        <v>4.4971700000000003E-2</v>
      </c>
      <c r="P7" s="7">
        <f ca="1">SUM(OFFSET($A$1,6,1,1,14))</f>
        <v>19151.250908700003</v>
      </c>
      <c r="Q7" s="7">
        <f ca="1">SUM(OFFSET($A$1,6,1,1,12))</f>
        <v>19151.161610000003</v>
      </c>
      <c r="R7" s="7" t="s">
        <v>96</v>
      </c>
      <c r="S7" s="7">
        <f ca="1">OFFSET(A1,106,15)</f>
        <v>59278.918428600009</v>
      </c>
      <c r="T7" s="7">
        <f ca="1">OFFSET(A1,107,15)</f>
        <v>53940.65798779999</v>
      </c>
    </row>
    <row r="8" spans="1:20" x14ac:dyDescent="0.2">
      <c r="A8" s="7">
        <v>6</v>
      </c>
      <c r="B8" s="7">
        <v>1.2052339999999999</v>
      </c>
      <c r="C8" s="7">
        <v>20.5564</v>
      </c>
      <c r="D8" s="7">
        <v>8.9902060000000006</v>
      </c>
      <c r="E8" s="7">
        <v>165.03200000000001</v>
      </c>
      <c r="F8" s="7">
        <v>1315.8820000000001</v>
      </c>
      <c r="G8" s="7">
        <v>15449.82</v>
      </c>
      <c r="H8" s="7">
        <v>41.206910000000001</v>
      </c>
      <c r="I8" s="7">
        <v>0.8977773</v>
      </c>
      <c r="J8" s="7">
        <v>195.82570000000001</v>
      </c>
      <c r="K8" s="7">
        <v>2.5665990000000001</v>
      </c>
      <c r="L8" s="7">
        <v>142.71610000000001</v>
      </c>
      <c r="M8" s="7">
        <v>33.233080000000001</v>
      </c>
      <c r="N8" s="7">
        <v>1.4272499999999999</v>
      </c>
      <c r="O8" s="7">
        <v>9.3605900000000006E-2</v>
      </c>
      <c r="P8" s="7">
        <f ca="1">SUM(OFFSET($A$1,7,1,1,14))</f>
        <v>17379.452862200011</v>
      </c>
      <c r="Q8" s="7">
        <f ca="1">SUM(OFFSET($A$1,7,1,1,12))</f>
        <v>17377.932006300009</v>
      </c>
      <c r="R8" s="7" t="s">
        <v>98</v>
      </c>
      <c r="S8" s="7">
        <f ca="1">OFFSET(A1,124,15)</f>
        <v>0</v>
      </c>
      <c r="T8" s="7">
        <f ca="1">OFFSET(A1,125,15)</f>
        <v>0</v>
      </c>
    </row>
    <row r="9" spans="1:20" x14ac:dyDescent="0.2">
      <c r="A9" s="7">
        <v>7</v>
      </c>
      <c r="B9" s="7">
        <v>1.6351789999999999</v>
      </c>
      <c r="C9" s="7">
        <v>9.5853669999999997</v>
      </c>
      <c r="D9" s="7">
        <v>61.965780000000002</v>
      </c>
      <c r="E9" s="7">
        <v>1095.7470000000001</v>
      </c>
      <c r="F9" s="7">
        <v>408.6558</v>
      </c>
      <c r="G9" s="7">
        <v>41.225140000000003</v>
      </c>
      <c r="H9" s="7">
        <v>13210.19</v>
      </c>
      <c r="I9" s="7">
        <v>170.69880000000001</v>
      </c>
      <c r="J9" s="7">
        <v>451.98239999999998</v>
      </c>
      <c r="K9" s="7">
        <v>88.891369999999995</v>
      </c>
      <c r="L9" s="7">
        <v>2.3028919999999999</v>
      </c>
      <c r="M9" s="7">
        <v>5.32308</v>
      </c>
      <c r="N9" s="7">
        <v>4.3009999999999999E-4</v>
      </c>
      <c r="O9" s="7">
        <v>2.6979999999999999E-3</v>
      </c>
      <c r="P9" s="7">
        <f ca="1">SUM(OFFSET($A$1,8,1,1,14))</f>
        <v>15548.205936100001</v>
      </c>
      <c r="Q9" s="7">
        <f ca="1">SUM(OFFSET($A$1,8,1,1,12))</f>
        <v>15548.202808</v>
      </c>
      <c r="R9" s="7" t="s">
        <v>100</v>
      </c>
      <c r="S9" s="7">
        <f ca="1">OFFSET(A1,142,15)</f>
        <v>0</v>
      </c>
      <c r="T9" s="7">
        <f ca="1">OFFSET(A1,143,15)</f>
        <v>0</v>
      </c>
    </row>
    <row r="10" spans="1:20" x14ac:dyDescent="0.2">
      <c r="A10" s="7">
        <v>8</v>
      </c>
      <c r="B10" s="7">
        <v>3.3968000000000002E-3</v>
      </c>
      <c r="C10" s="7">
        <v>3.1142400000000001E-2</v>
      </c>
      <c r="D10" s="7">
        <v>0.46959230000000002</v>
      </c>
      <c r="E10" s="7">
        <v>35.148220000000002</v>
      </c>
      <c r="F10" s="7">
        <v>15.091670000000001</v>
      </c>
      <c r="G10" s="7">
        <v>0.88868349999999996</v>
      </c>
      <c r="H10" s="7">
        <v>167.71690000000001</v>
      </c>
      <c r="I10" s="7">
        <v>2832.922</v>
      </c>
      <c r="J10" s="7">
        <v>184.11879999999999</v>
      </c>
      <c r="K10" s="7">
        <v>36.328800000000001</v>
      </c>
      <c r="L10" s="7">
        <v>2.4789700000000001E-2</v>
      </c>
      <c r="M10" s="7">
        <v>3.182909</v>
      </c>
      <c r="N10" s="7">
        <v>2.0000000000000002E-5</v>
      </c>
      <c r="O10" s="7">
        <v>8.1749999999999998E-4</v>
      </c>
      <c r="P10" s="7">
        <f ca="1">SUM(OFFSET($A$1,9,1,1,14))</f>
        <v>3275.9277412000001</v>
      </c>
      <c r="Q10" s="7">
        <f ca="1">SUM(OFFSET($A$1,9,1,1,12))</f>
        <v>3275.9269037000004</v>
      </c>
    </row>
    <row r="11" spans="1:20" x14ac:dyDescent="0.2">
      <c r="A11" s="7">
        <v>9</v>
      </c>
      <c r="B11" s="7">
        <v>0.22229860000000001</v>
      </c>
      <c r="C11" s="7">
        <v>2.7535500000000002</v>
      </c>
      <c r="D11" s="7">
        <v>1.717295</v>
      </c>
      <c r="E11" s="7">
        <v>174.3546</v>
      </c>
      <c r="F11" s="7">
        <v>346.93520000000001</v>
      </c>
      <c r="G11" s="7">
        <v>196.43350000000001</v>
      </c>
      <c r="H11" s="7">
        <v>449.97980000000001</v>
      </c>
      <c r="I11" s="7">
        <v>185.52250000000001</v>
      </c>
      <c r="J11" s="7">
        <v>27231.040000000001</v>
      </c>
      <c r="K11" s="7">
        <v>721.93140000000005</v>
      </c>
      <c r="L11" s="7">
        <v>15.97137</v>
      </c>
      <c r="M11" s="7">
        <v>802.47389999999996</v>
      </c>
      <c r="N11" s="7">
        <v>4.8919499999999998E-2</v>
      </c>
      <c r="O11" s="7">
        <v>3.7581389999999999</v>
      </c>
      <c r="P11" s="7">
        <f ca="1">SUM(OFFSET($A$1,10,1,1,14))</f>
        <v>30133.142472100004</v>
      </c>
      <c r="Q11" s="7">
        <f ca="1">SUM(OFFSET($A$1,10,1,1,12))</f>
        <v>30129.335413600002</v>
      </c>
    </row>
    <row r="12" spans="1:20" x14ac:dyDescent="0.2">
      <c r="A12" s="7">
        <v>10</v>
      </c>
      <c r="B12" s="7">
        <v>1.6582999999999999E-3</v>
      </c>
      <c r="C12" s="7">
        <v>1.0626500000000001E-2</v>
      </c>
      <c r="D12" s="7">
        <v>0.1584835</v>
      </c>
      <c r="E12" s="7">
        <v>7.4030079999999998</v>
      </c>
      <c r="F12" s="7">
        <v>13.524940000000001</v>
      </c>
      <c r="G12" s="7">
        <v>2.5455109999999999</v>
      </c>
      <c r="H12" s="7">
        <v>87.842010000000002</v>
      </c>
      <c r="I12" s="7">
        <v>36.382289999999998</v>
      </c>
      <c r="J12" s="7">
        <v>718.58420000000001</v>
      </c>
      <c r="K12" s="7">
        <v>7359.1220000000003</v>
      </c>
      <c r="L12" s="7">
        <v>7.58157E-2</v>
      </c>
      <c r="M12" s="7">
        <v>270.67570000000001</v>
      </c>
      <c r="N12" s="7">
        <v>4.392E-4</v>
      </c>
      <c r="O12" s="7">
        <v>0.2527797</v>
      </c>
      <c r="P12" s="7">
        <f ca="1">SUM(OFFSET($A$1,11,1,1,14))</f>
        <v>8496.5794618999989</v>
      </c>
      <c r="Q12" s="7">
        <f ca="1">SUM(OFFSET($A$1,11,1,1,12))</f>
        <v>8496.3262429999995</v>
      </c>
    </row>
    <row r="13" spans="1:20" x14ac:dyDescent="0.2">
      <c r="A13" s="7">
        <v>11</v>
      </c>
      <c r="B13" s="7">
        <v>2.16679E-2</v>
      </c>
      <c r="C13" s="7">
        <v>0.79711860000000001</v>
      </c>
      <c r="D13" s="7">
        <v>0.3515084</v>
      </c>
      <c r="E13" s="7">
        <v>7.3823100000000004</v>
      </c>
      <c r="F13" s="7">
        <v>90.194580000000002</v>
      </c>
      <c r="G13" s="7">
        <v>140.95509999999999</v>
      </c>
      <c r="H13" s="7">
        <v>2.2730890000000001</v>
      </c>
      <c r="I13" s="7">
        <v>2.4805299999999999E-2</v>
      </c>
      <c r="J13" s="7">
        <v>15.7948</v>
      </c>
      <c r="K13" s="7">
        <v>7.5671000000000002E-2</v>
      </c>
      <c r="L13" s="7">
        <v>7351.5919999999996</v>
      </c>
      <c r="M13" s="7">
        <v>25.372810000000001</v>
      </c>
      <c r="N13" s="7">
        <v>73.825289999999995</v>
      </c>
      <c r="O13" s="7">
        <v>11.14425</v>
      </c>
      <c r="P13" s="7">
        <f ca="1">SUM(OFFSET($A$1,12,1,1,14))</f>
        <v>7719.8050001999991</v>
      </c>
      <c r="Q13" s="7">
        <f ca="1">SUM(OFFSET($A$1,12,1,1,12))</f>
        <v>7634.835460199999</v>
      </c>
    </row>
    <row r="14" spans="1:20" x14ac:dyDescent="0.2">
      <c r="A14" s="7">
        <v>12</v>
      </c>
      <c r="B14" s="7">
        <v>2.2301000000000001E-3</v>
      </c>
      <c r="C14" s="7">
        <v>8.2350599999999996E-2</v>
      </c>
      <c r="D14" s="7">
        <v>3.9245599999999999E-2</v>
      </c>
      <c r="E14" s="7">
        <v>0.4035165</v>
      </c>
      <c r="F14" s="7">
        <v>13.231820000000001</v>
      </c>
      <c r="G14" s="7">
        <v>33.022910000000003</v>
      </c>
      <c r="H14" s="7">
        <v>5.2951940000000004</v>
      </c>
      <c r="I14" s="7">
        <v>3.207684</v>
      </c>
      <c r="J14" s="7">
        <v>806.31539999999995</v>
      </c>
      <c r="K14" s="7">
        <v>271.17790000000002</v>
      </c>
      <c r="L14" s="7">
        <v>25.496479999999998</v>
      </c>
      <c r="M14" s="7">
        <v>9264.5049999999992</v>
      </c>
      <c r="N14" s="7">
        <v>1.807661</v>
      </c>
      <c r="O14" s="7">
        <v>283.98700000000002</v>
      </c>
      <c r="P14" s="7">
        <f ca="1">SUM(OFFSET($A$1,13,1,1,14))</f>
        <v>10708.574391799999</v>
      </c>
      <c r="Q14" s="7">
        <f ca="1">SUM(OFFSET($A$1,13,1,1,12))</f>
        <v>10422.779730799999</v>
      </c>
    </row>
    <row r="15" spans="1:20" x14ac:dyDescent="0.2">
      <c r="A15" s="7">
        <v>13</v>
      </c>
      <c r="B15" s="7">
        <v>7.9000000000000006E-6</v>
      </c>
      <c r="C15" s="7">
        <v>1.3100000000000001E-4</v>
      </c>
      <c r="D15" s="7">
        <v>1.292E-4</v>
      </c>
      <c r="E15" s="7">
        <v>2.7244999999999999E-3</v>
      </c>
      <c r="F15" s="7">
        <v>4.3110500000000003E-2</v>
      </c>
      <c r="G15" s="7">
        <v>1.4064829999999999</v>
      </c>
      <c r="H15" s="7">
        <v>4.2200000000000001E-4</v>
      </c>
      <c r="I15" s="7">
        <v>1.9899999999999999E-5</v>
      </c>
      <c r="J15" s="7">
        <v>4.8292500000000002E-2</v>
      </c>
      <c r="K15" s="7">
        <v>4.3800000000000002E-4</v>
      </c>
      <c r="L15" s="7">
        <v>73.773340000000005</v>
      </c>
      <c r="M15" s="7">
        <v>1.8081050000000001</v>
      </c>
      <c r="N15" s="7">
        <v>3362.4850000000001</v>
      </c>
      <c r="O15" s="7">
        <v>308.53530000000001</v>
      </c>
      <c r="P15" s="7">
        <f ca="1">SUM(OFFSET($A$1,14,1,1,14))</f>
        <v>3748.1035035</v>
      </c>
      <c r="Q15" s="7">
        <f ca="1">SUM(OFFSET($A$1,14,1,1,12))</f>
        <v>77.083203499999996</v>
      </c>
    </row>
    <row r="16" spans="1:20" x14ac:dyDescent="0.2">
      <c r="A16" s="7">
        <v>14</v>
      </c>
      <c r="B16" s="7">
        <v>7.7000000000000008E-6</v>
      </c>
      <c r="C16" s="7">
        <v>2.8360000000000001E-4</v>
      </c>
      <c r="D16" s="7">
        <v>5.8799999999999999E-5</v>
      </c>
      <c r="E16" s="7">
        <v>2.7640999999999998E-3</v>
      </c>
      <c r="F16" s="7">
        <v>4.3803700000000001E-2</v>
      </c>
      <c r="G16" s="7">
        <v>9.18437E-2</v>
      </c>
      <c r="H16" s="7">
        <v>2.6472000000000002E-3</v>
      </c>
      <c r="I16" s="7">
        <v>8.1459999999999996E-4</v>
      </c>
      <c r="J16" s="7">
        <v>3.7139190000000002</v>
      </c>
      <c r="K16" s="7">
        <v>0.25161169999999999</v>
      </c>
      <c r="L16" s="7">
        <v>11.170920000000001</v>
      </c>
      <c r="M16" s="7">
        <v>283.34050000000002</v>
      </c>
      <c r="N16" s="7">
        <v>308.57260000000002</v>
      </c>
      <c r="O16" s="7">
        <v>17725.77</v>
      </c>
      <c r="P16" s="7">
        <f ca="1">SUM(OFFSET($A$1,15,1,1,14))</f>
        <v>18332.9617741</v>
      </c>
      <c r="Q16" s="7">
        <f ca="1">SUM(OFFSET($A$1,15,1,1,12))</f>
        <v>298.61917410000001</v>
      </c>
    </row>
    <row r="17" spans="1:17" x14ac:dyDescent="0.2">
      <c r="A17" s="7" t="s">
        <v>43</v>
      </c>
      <c r="B17" s="7">
        <f ca="1">SUM(OFFSET($A$1,2,1,14,1))</f>
        <v>3752.6520802999999</v>
      </c>
      <c r="C17" s="7">
        <f ca="1">SUM(OFFSET($A$1,2,2,14,1))</f>
        <v>11162.692269699999</v>
      </c>
      <c r="D17" s="7">
        <f ca="1">SUM(OFFSET($A$1,2,3,14,1))</f>
        <v>3974.9426987999996</v>
      </c>
      <c r="E17" s="7">
        <f ca="1">SUM(OFFSET($A$1,2,4,14,1))</f>
        <v>35337.348383100012</v>
      </c>
      <c r="F17" s="7">
        <f ca="1">SUM(OFFSET($A$1,2,5,14,1))</f>
        <v>19171.593324199999</v>
      </c>
      <c r="G17" s="7">
        <f ca="1">SUM(OFFSET($A$1,2,6,14,1))</f>
        <v>17383.986493199998</v>
      </c>
      <c r="H17" s="7">
        <f ca="1">SUM(OFFSET($A$1,2,7,14,1))</f>
        <v>15556.4954282</v>
      </c>
      <c r="I17" s="7">
        <f ca="1">SUM(OFFSET($A$1,2,8,14,1))</f>
        <v>3281.3961529000003</v>
      </c>
      <c r="J17" s="7">
        <f ca="1">SUM(OFFSET($A$1,2,9,14,1))</f>
        <v>30136.262436700003</v>
      </c>
      <c r="K17" s="7">
        <f ca="1">SUM(OFFSET($A$1,2,10,14,1))</f>
        <v>8501.6931430999994</v>
      </c>
      <c r="L17" s="7">
        <f ca="1">SUM(OFFSET($A$1,2,11,14,1))</f>
        <v>7723.6546357999987</v>
      </c>
      <c r="M17" s="7">
        <f ca="1">SUM(OFFSET($A$1,2,12,14,1))</f>
        <v>10703.8003207</v>
      </c>
      <c r="N17" s="7">
        <f ca="1">SUM(OFFSET($A$1,2,13,14,1))</f>
        <v>3748.2150780000002</v>
      </c>
      <c r="O17" s="7">
        <f ca="1">SUM(OFFSET($A$1,2,14,14,1))</f>
        <v>18333.5928117</v>
      </c>
      <c r="P17" s="7">
        <f ca="1">SUM(OFFSET($A$1,16,1,1,14))</f>
        <v>188768.32525639998</v>
      </c>
      <c r="Q17" s="7">
        <f ca="1">SUM(OFFSET($A$1,16,1,1,12))</f>
        <v>166686.51736669999</v>
      </c>
    </row>
    <row r="18" spans="1:17" x14ac:dyDescent="0.2">
      <c r="O18" s="12" t="s">
        <v>59</v>
      </c>
      <c r="P18" s="7">
        <f ca="1">SUM(OFFSET($B$3,0,0,12,12))</f>
        <v>166310.81498910001</v>
      </c>
    </row>
    <row r="19" spans="1:17" x14ac:dyDescent="0.2">
      <c r="A19" s="7" t="s">
        <v>89</v>
      </c>
    </row>
    <row r="20" spans="1:17" x14ac:dyDescent="0.2">
      <c r="B20" s="7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 t="s">
        <v>43</v>
      </c>
      <c r="Q20" s="7" t="s">
        <v>61</v>
      </c>
    </row>
    <row r="21" spans="1:17" x14ac:dyDescent="0.2">
      <c r="A21" s="7">
        <v>1</v>
      </c>
      <c r="B21" s="7">
        <v>6661.5339999999997</v>
      </c>
      <c r="C21" s="7">
        <v>2141.1260000000002</v>
      </c>
      <c r="D21" s="7">
        <v>224.40190000000001</v>
      </c>
      <c r="E21" s="7">
        <v>172.75409999999999</v>
      </c>
      <c r="F21" s="7">
        <v>73.258039999999994</v>
      </c>
      <c r="G21" s="7">
        <v>3.3290109999999999</v>
      </c>
      <c r="H21" s="7">
        <v>4.4245469999999996</v>
      </c>
      <c r="I21" s="7">
        <v>9.8084999999999995E-3</v>
      </c>
      <c r="J21" s="7">
        <v>0.68438350000000003</v>
      </c>
      <c r="K21" s="7">
        <v>4.1435999999999999E-3</v>
      </c>
      <c r="L21" s="7">
        <v>6.4522499999999997E-2</v>
      </c>
      <c r="M21" s="7">
        <v>6.7461999999999999E-3</v>
      </c>
      <c r="N21" s="7">
        <v>2.5999999999999998E-5</v>
      </c>
      <c r="O21" s="7">
        <v>2.5700000000000001E-5</v>
      </c>
      <c r="P21" s="7">
        <f ca="1">SUM(OFFSET($A$19,2,1,1,14))</f>
        <v>9281.5972540000021</v>
      </c>
      <c r="Q21" s="7">
        <f ca="1">SUM(OFFSET($A$19,2,1,1,12))</f>
        <v>9281.5972023000031</v>
      </c>
    </row>
    <row r="22" spans="1:17" x14ac:dyDescent="0.2">
      <c r="A22" s="7">
        <v>2</v>
      </c>
      <c r="B22" s="7">
        <v>2126.1309999999999</v>
      </c>
      <c r="C22" s="7">
        <v>21143.85</v>
      </c>
      <c r="D22" s="7">
        <v>495.07299999999998</v>
      </c>
      <c r="E22" s="7">
        <v>1005.607</v>
      </c>
      <c r="F22" s="7">
        <v>569.0874</v>
      </c>
      <c r="G22" s="7">
        <v>49.830660000000002</v>
      </c>
      <c r="H22" s="7">
        <v>23.539909999999999</v>
      </c>
      <c r="I22" s="7">
        <v>8.0806600000000006E-2</v>
      </c>
      <c r="J22" s="7">
        <v>7.4386219999999996</v>
      </c>
      <c r="K22" s="7">
        <v>2.33165E-2</v>
      </c>
      <c r="L22" s="7">
        <v>2.0799370000000001</v>
      </c>
      <c r="M22" s="7">
        <v>0.21859329999999999</v>
      </c>
      <c r="N22" s="7">
        <v>3.7639999999999999E-4</v>
      </c>
      <c r="O22" s="7">
        <v>8.3060000000000002E-4</v>
      </c>
      <c r="P22" s="7">
        <f ca="1">SUM(OFFSET($A$19,3,1,1,14))</f>
        <v>25422.961452399999</v>
      </c>
      <c r="Q22" s="7">
        <f ca="1">SUM(OFFSET($A$19,3,1,1,12))</f>
        <v>25422.960245399998</v>
      </c>
    </row>
    <row r="23" spans="1:17" x14ac:dyDescent="0.2">
      <c r="A23" s="7">
        <v>3</v>
      </c>
      <c r="B23" s="7">
        <v>208.4528</v>
      </c>
      <c r="C23" s="7">
        <v>450.05700000000002</v>
      </c>
      <c r="D23" s="7">
        <v>2720.7359999999999</v>
      </c>
      <c r="E23" s="7">
        <v>3833.5169999999998</v>
      </c>
      <c r="F23" s="7">
        <v>310.35649999999998</v>
      </c>
      <c r="G23" s="7">
        <v>21.26004</v>
      </c>
      <c r="H23" s="7">
        <v>139.34460000000001</v>
      </c>
      <c r="I23" s="7">
        <v>1.184752</v>
      </c>
      <c r="J23" s="7">
        <v>4.5551180000000002</v>
      </c>
      <c r="K23" s="7">
        <v>0.34191890000000003</v>
      </c>
      <c r="L23" s="7">
        <v>0.90429649999999995</v>
      </c>
      <c r="M23" s="7">
        <v>0.1030842</v>
      </c>
      <c r="N23" s="7">
        <v>3.7879999999999999E-4</v>
      </c>
      <c r="O23" s="7">
        <v>1.7320000000000001E-4</v>
      </c>
      <c r="P23" s="7">
        <f ca="1">SUM(OFFSET($A$19,4,1,1,14))</f>
        <v>7690.8136616000002</v>
      </c>
      <c r="Q23" s="7">
        <f ca="1">SUM(OFFSET($A$19,4,1,1,12))</f>
        <v>7690.8131095999997</v>
      </c>
    </row>
    <row r="24" spans="1:17" x14ac:dyDescent="0.2">
      <c r="A24" s="7">
        <v>4</v>
      </c>
      <c r="B24" s="7">
        <v>168.34649999999999</v>
      </c>
      <c r="C24" s="7">
        <v>989.11300000000006</v>
      </c>
      <c r="D24" s="7">
        <v>4226.2820000000002</v>
      </c>
      <c r="E24" s="7">
        <v>64278.22</v>
      </c>
      <c r="F24" s="7">
        <v>4893.5659999999998</v>
      </c>
      <c r="G24" s="7">
        <v>398.28</v>
      </c>
      <c r="H24" s="7">
        <v>2562.9119999999998</v>
      </c>
      <c r="I24" s="7">
        <v>88.419839999999994</v>
      </c>
      <c r="J24" s="7">
        <v>468.87939999999998</v>
      </c>
      <c r="K24" s="7">
        <v>16.092490000000002</v>
      </c>
      <c r="L24" s="7">
        <v>19.261780000000002</v>
      </c>
      <c r="M24" s="7">
        <v>1.06955</v>
      </c>
      <c r="N24" s="7">
        <v>7.9076000000000007E-3</v>
      </c>
      <c r="O24" s="7">
        <v>8.1141000000000008E-3</v>
      </c>
      <c r="P24" s="7">
        <f ca="1">SUM(OFFSET($A$19,5,1,1,14))</f>
        <v>78110.458581700004</v>
      </c>
      <c r="Q24" s="7">
        <f ca="1">SUM(OFFSET($A$19,5,1,1,12))</f>
        <v>78110.44256000001</v>
      </c>
    </row>
    <row r="25" spans="1:17" x14ac:dyDescent="0.2">
      <c r="A25" s="7">
        <v>5</v>
      </c>
      <c r="B25" s="7">
        <v>72.374409999999997</v>
      </c>
      <c r="C25" s="7">
        <v>562.52250000000004</v>
      </c>
      <c r="D25" s="7">
        <v>348.61290000000002</v>
      </c>
      <c r="E25" s="7">
        <v>4864.7520000000004</v>
      </c>
      <c r="F25" s="7">
        <v>38529.519999999997</v>
      </c>
      <c r="G25" s="7">
        <v>3589.43</v>
      </c>
      <c r="H25" s="7">
        <v>1127.73</v>
      </c>
      <c r="I25" s="7">
        <v>42.262799999999999</v>
      </c>
      <c r="J25" s="7">
        <v>1034.0170000000001</v>
      </c>
      <c r="K25" s="7">
        <v>33.004469999999998</v>
      </c>
      <c r="L25" s="7">
        <v>265.92129999999997</v>
      </c>
      <c r="M25" s="7">
        <v>39.307609999999997</v>
      </c>
      <c r="N25" s="7">
        <v>0.140705</v>
      </c>
      <c r="O25" s="7">
        <v>0.14427770000000001</v>
      </c>
      <c r="P25" s="7">
        <f ca="1">SUM(OFFSET($A$19,6,1,1,14))</f>
        <v>50509.739972700001</v>
      </c>
      <c r="Q25" s="7">
        <f ca="1">SUM(OFFSET($A$19,6,1,1,12))</f>
        <v>50509.454990000006</v>
      </c>
    </row>
    <row r="26" spans="1:17" x14ac:dyDescent="0.2">
      <c r="A26" s="7">
        <v>6</v>
      </c>
      <c r="B26" s="7">
        <v>3.3215370000000002</v>
      </c>
      <c r="C26" s="7">
        <v>49.720730000000003</v>
      </c>
      <c r="D26" s="7">
        <v>24.038489999999999</v>
      </c>
      <c r="E26" s="7">
        <v>405.01170000000002</v>
      </c>
      <c r="F26" s="7">
        <v>3612.0450000000001</v>
      </c>
      <c r="G26" s="7">
        <v>38583.5</v>
      </c>
      <c r="H26" s="7">
        <v>109.9555</v>
      </c>
      <c r="I26" s="7">
        <v>2.36517</v>
      </c>
      <c r="J26" s="7">
        <v>546.13199999999995</v>
      </c>
      <c r="K26" s="7">
        <v>5.736523</v>
      </c>
      <c r="L26" s="7">
        <v>367.84100000000001</v>
      </c>
      <c r="M26" s="7">
        <v>89.705280000000002</v>
      </c>
      <c r="N26" s="7">
        <v>4.0242769999999997</v>
      </c>
      <c r="O26" s="7">
        <v>0.27561730000000001</v>
      </c>
      <c r="P26" s="7">
        <f ca="1">SUM(OFFSET($A$19,7,1,1,14))</f>
        <v>43803.672824299989</v>
      </c>
      <c r="Q26" s="7">
        <f ca="1">SUM(OFFSET($A$19,7,1,1,12))</f>
        <v>43799.37292999999</v>
      </c>
    </row>
    <row r="27" spans="1:17" x14ac:dyDescent="0.2">
      <c r="A27" s="7">
        <v>7</v>
      </c>
      <c r="B27" s="7">
        <v>4.4037740000000003</v>
      </c>
      <c r="C27" s="7">
        <v>23.46416</v>
      </c>
      <c r="D27" s="7">
        <v>155.71449999999999</v>
      </c>
      <c r="E27" s="7">
        <v>2575.6689999999999</v>
      </c>
      <c r="F27" s="7">
        <v>1139.8900000000001</v>
      </c>
      <c r="G27" s="7">
        <v>110.18</v>
      </c>
      <c r="H27" s="7">
        <v>32473.5</v>
      </c>
      <c r="I27" s="7">
        <v>443.04070000000002</v>
      </c>
      <c r="J27" s="7">
        <v>1297.3130000000001</v>
      </c>
      <c r="K27" s="7">
        <v>200.6377</v>
      </c>
      <c r="L27" s="7">
        <v>6.5299950000000004</v>
      </c>
      <c r="M27" s="7">
        <v>15.24399</v>
      </c>
      <c r="N27" s="7">
        <v>1.3358000000000001E-3</v>
      </c>
      <c r="O27" s="7">
        <v>8.4224999999999994E-3</v>
      </c>
      <c r="P27" s="7">
        <f ca="1">SUM(OFFSET($A$19,8,1,1,14))</f>
        <v>38445.596577299999</v>
      </c>
      <c r="Q27" s="7">
        <f ca="1">SUM(OFFSET($A$19,8,1,1,12))</f>
        <v>38445.586818999996</v>
      </c>
    </row>
    <row r="28" spans="1:17" x14ac:dyDescent="0.2">
      <c r="A28" s="7">
        <v>8</v>
      </c>
      <c r="B28" s="7">
        <v>9.8715000000000001E-3</v>
      </c>
      <c r="C28" s="7">
        <v>8.1326599999999999E-2</v>
      </c>
      <c r="D28" s="7">
        <v>1.323161</v>
      </c>
      <c r="E28" s="7">
        <v>89.968339999999998</v>
      </c>
      <c r="F28" s="7">
        <v>42.877000000000002</v>
      </c>
      <c r="G28" s="7">
        <v>2.3856290000000002</v>
      </c>
      <c r="H28" s="7">
        <v>447.62819999999999</v>
      </c>
      <c r="I28" s="7">
        <v>7223.8580000000002</v>
      </c>
      <c r="J28" s="7">
        <v>525.91369999999995</v>
      </c>
      <c r="K28" s="7">
        <v>81.049250000000001</v>
      </c>
      <c r="L28" s="7">
        <v>7.1284700000000006E-2</v>
      </c>
      <c r="M28" s="7">
        <v>9.0114370000000008</v>
      </c>
      <c r="N28" s="7">
        <v>6.3999999999999997E-5</v>
      </c>
      <c r="O28" s="7">
        <v>2.5347999999999998E-3</v>
      </c>
      <c r="P28" s="7">
        <f ca="1">SUM(OFFSET($A$19,9,1,1,14))</f>
        <v>8424.1797985999983</v>
      </c>
      <c r="Q28" s="7">
        <f ca="1">SUM(OFFSET($A$19,9,1,1,12))</f>
        <v>8424.1771997999986</v>
      </c>
    </row>
    <row r="29" spans="1:17" x14ac:dyDescent="0.2">
      <c r="A29" s="7">
        <v>9</v>
      </c>
      <c r="B29" s="7">
        <v>0.68195309999999998</v>
      </c>
      <c r="C29" s="7">
        <v>7.4095890000000004</v>
      </c>
      <c r="D29" s="7">
        <v>5.1264690000000002</v>
      </c>
      <c r="E29" s="7">
        <v>473.29480000000001</v>
      </c>
      <c r="F29" s="7">
        <v>1044.367</v>
      </c>
      <c r="G29" s="7">
        <v>544.36890000000005</v>
      </c>
      <c r="H29" s="7">
        <v>1296.2180000000001</v>
      </c>
      <c r="I29" s="7">
        <v>521.84649999999999</v>
      </c>
      <c r="J29" s="7">
        <v>73471.73</v>
      </c>
      <c r="K29" s="7">
        <v>2023.5219999999999</v>
      </c>
      <c r="L29" s="7">
        <v>46.874879999999997</v>
      </c>
      <c r="M29" s="7">
        <v>2207.2179999999998</v>
      </c>
      <c r="N29" s="7">
        <v>0.155413</v>
      </c>
      <c r="O29" s="7">
        <v>11.381880000000001</v>
      </c>
      <c r="P29" s="7">
        <f ca="1">SUM(OFFSET($A$19,10,1,1,14))</f>
        <v>81654.195384099992</v>
      </c>
      <c r="Q29" s="7">
        <f ca="1">SUM(OFFSET($A$19,10,1,1,12))</f>
        <v>81642.658091099991</v>
      </c>
    </row>
    <row r="30" spans="1:17" x14ac:dyDescent="0.2">
      <c r="A30" s="7">
        <v>10</v>
      </c>
      <c r="B30" s="7">
        <v>4.1562999999999999E-3</v>
      </c>
      <c r="C30" s="7">
        <v>2.3396400000000001E-2</v>
      </c>
      <c r="D30" s="7">
        <v>0.38523560000000001</v>
      </c>
      <c r="E30" s="7">
        <v>16.35322</v>
      </c>
      <c r="F30" s="7">
        <v>33.340609999999998</v>
      </c>
      <c r="G30" s="7">
        <v>5.7623069999999998</v>
      </c>
      <c r="H30" s="7">
        <v>201.95949999999999</v>
      </c>
      <c r="I30" s="7">
        <v>80.965800000000002</v>
      </c>
      <c r="J30" s="7">
        <v>2029.374</v>
      </c>
      <c r="K30" s="7">
        <v>15112.73</v>
      </c>
      <c r="L30" s="7">
        <v>0.179068</v>
      </c>
      <c r="M30" s="7">
        <v>574.60220000000004</v>
      </c>
      <c r="N30" s="7">
        <v>1.083E-3</v>
      </c>
      <c r="O30" s="7">
        <v>0.58579959999999998</v>
      </c>
      <c r="P30" s="7">
        <f ca="1">SUM(OFFSET($A$19,11,1,1,14))</f>
        <v>18056.266375900002</v>
      </c>
      <c r="Q30" s="7">
        <f ca="1">SUM(OFFSET($A$19,11,1,1,12))</f>
        <v>18055.679493300002</v>
      </c>
    </row>
    <row r="31" spans="1:17" x14ac:dyDescent="0.2">
      <c r="A31" s="7">
        <v>11</v>
      </c>
      <c r="B31" s="7">
        <v>6.4816399999999996E-2</v>
      </c>
      <c r="C31" s="7">
        <v>2.091466</v>
      </c>
      <c r="D31" s="7">
        <v>1.0229299999999999</v>
      </c>
      <c r="E31" s="7">
        <v>19.71996</v>
      </c>
      <c r="F31" s="7">
        <v>269.58190000000002</v>
      </c>
      <c r="G31" s="7">
        <v>368.06709999999998</v>
      </c>
      <c r="H31" s="7">
        <v>6.568937</v>
      </c>
      <c r="I31" s="7">
        <v>7.1387599999999996E-2</v>
      </c>
      <c r="J31" s="7">
        <v>47.101750000000003</v>
      </c>
      <c r="K31" s="7">
        <v>0.17888580000000001</v>
      </c>
      <c r="L31" s="7">
        <v>18572.990000000002</v>
      </c>
      <c r="M31" s="7">
        <v>69.242459999999994</v>
      </c>
      <c r="N31" s="7">
        <v>194.94649999999999</v>
      </c>
      <c r="O31" s="7">
        <v>31.098769999999998</v>
      </c>
      <c r="P31" s="7">
        <f ca="1">SUM(OFFSET($A$19,12,1,1,14))</f>
        <v>19582.746862800002</v>
      </c>
      <c r="Q31" s="7">
        <f ca="1">SUM(OFFSET($A$19,12,1,1,12))</f>
        <v>19356.701592800004</v>
      </c>
    </row>
    <row r="32" spans="1:17" x14ac:dyDescent="0.2">
      <c r="A32" s="7">
        <v>12</v>
      </c>
      <c r="B32" s="7">
        <v>6.7647999999999996E-3</v>
      </c>
      <c r="C32" s="7">
        <v>0.2191205</v>
      </c>
      <c r="D32" s="7">
        <v>0.1157084</v>
      </c>
      <c r="E32" s="7">
        <v>1.091351</v>
      </c>
      <c r="F32" s="7">
        <v>39.81859</v>
      </c>
      <c r="G32" s="7">
        <v>89.942890000000006</v>
      </c>
      <c r="H32" s="7">
        <v>15.30326</v>
      </c>
      <c r="I32" s="7">
        <v>8.9823050000000002</v>
      </c>
      <c r="J32" s="7">
        <v>2204.232</v>
      </c>
      <c r="K32" s="7">
        <v>574.08879999999999</v>
      </c>
      <c r="L32" s="7">
        <v>69.064099999999996</v>
      </c>
      <c r="M32" s="7">
        <v>23318.91</v>
      </c>
      <c r="N32" s="7">
        <v>5.0276899999999998</v>
      </c>
      <c r="O32" s="7">
        <v>747.06550000000004</v>
      </c>
      <c r="P32" s="7">
        <f ca="1">SUM(OFFSET($A$19,13,1,1,14))</f>
        <v>27073.868079699998</v>
      </c>
      <c r="Q32" s="7">
        <f ca="1">SUM(OFFSET($A$19,13,1,1,12))</f>
        <v>26321.774889699998</v>
      </c>
    </row>
    <row r="33" spans="1:17" x14ac:dyDescent="0.2">
      <c r="A33" s="7">
        <v>13</v>
      </c>
      <c r="B33" s="7">
        <v>2.6100000000000001E-5</v>
      </c>
      <c r="C33" s="7">
        <v>3.7819999999999998E-4</v>
      </c>
      <c r="D33" s="7">
        <v>4.1360000000000002E-4</v>
      </c>
      <c r="E33" s="7">
        <v>8.0065999999999991E-3</v>
      </c>
      <c r="F33" s="7">
        <v>0.1417872</v>
      </c>
      <c r="G33" s="7">
        <v>4.0409889999999997</v>
      </c>
      <c r="H33" s="7">
        <v>1.3427999999999999E-3</v>
      </c>
      <c r="I33" s="7">
        <v>6.3899999999999995E-5</v>
      </c>
      <c r="J33" s="7">
        <v>0.15551200000000001</v>
      </c>
      <c r="K33" s="7">
        <v>1.0842E-3</v>
      </c>
      <c r="L33" s="7">
        <v>194.90559999999999</v>
      </c>
      <c r="M33" s="7">
        <v>5.0242069999999996</v>
      </c>
      <c r="N33" s="7">
        <v>8613.6219999999994</v>
      </c>
      <c r="O33" s="7">
        <v>819.7758</v>
      </c>
      <c r="P33" s="7">
        <f ca="1">SUM(OFFSET($A$19,14,1,1,14))</f>
        <v>9637.6772105999989</v>
      </c>
      <c r="Q33" s="7">
        <f ca="1">SUM(OFFSET($A$19,14,1,1,12))</f>
        <v>204.27941059999998</v>
      </c>
    </row>
    <row r="34" spans="1:17" x14ac:dyDescent="0.2">
      <c r="A34" s="7">
        <v>14</v>
      </c>
      <c r="B34" s="7">
        <v>2.58E-5</v>
      </c>
      <c r="C34" s="7">
        <v>8.3489999999999997E-4</v>
      </c>
      <c r="D34" s="7">
        <v>1.9149999999999999E-4</v>
      </c>
      <c r="E34" s="7">
        <v>8.2415000000000006E-3</v>
      </c>
      <c r="F34" s="7">
        <v>0.14591290000000001</v>
      </c>
      <c r="G34" s="7">
        <v>0.27660000000000001</v>
      </c>
      <c r="H34" s="7">
        <v>8.4718999999999992E-3</v>
      </c>
      <c r="I34" s="7">
        <v>2.5382E-3</v>
      </c>
      <c r="J34" s="7">
        <v>11.43261</v>
      </c>
      <c r="K34" s="7">
        <v>0.58721409999999996</v>
      </c>
      <c r="L34" s="7">
        <v>31.013470000000002</v>
      </c>
      <c r="M34" s="7">
        <v>747.69939999999997</v>
      </c>
      <c r="N34" s="7">
        <v>819.68979999999999</v>
      </c>
      <c r="O34" s="7">
        <v>45305.24</v>
      </c>
      <c r="P34" s="7">
        <f ca="1">SUM(OFFSET($A$19,15,1,1,14))</f>
        <v>46916.105310799998</v>
      </c>
      <c r="Q34" s="7">
        <f ca="1">SUM(OFFSET($A$19,15,1,1,12))</f>
        <v>791.17551079999998</v>
      </c>
    </row>
    <row r="35" spans="1:17" x14ac:dyDescent="0.2">
      <c r="A35" s="7" t="s">
        <v>43</v>
      </c>
      <c r="B35" s="7">
        <f ca="1">SUM(OFFSET($A$19,2,1,14,1))</f>
        <v>9245.3316349999986</v>
      </c>
      <c r="C35" s="7">
        <f ca="1">SUM(OFFSET($A$19,2,2,14,1))</f>
        <v>25369.679501600003</v>
      </c>
      <c r="D35" s="7">
        <f ca="1">SUM(OFFSET($A$19,2,3,14,1))</f>
        <v>8202.8328991000017</v>
      </c>
      <c r="E35" s="7">
        <f ca="1">SUM(OFFSET($A$19,2,4,14,1))</f>
        <v>77735.974719100021</v>
      </c>
      <c r="F35" s="7">
        <f ca="1">SUM(OFFSET($A$19,2,5,14,1))</f>
        <v>50557.995740099992</v>
      </c>
      <c r="G35" s="7">
        <f ca="1">SUM(OFFSET($A$19,2,6,14,1))</f>
        <v>43770.654125999994</v>
      </c>
      <c r="H35" s="7">
        <f ca="1">SUM(OFFSET($A$19,2,7,14,1))</f>
        <v>38409.094268699999</v>
      </c>
      <c r="I35" s="7">
        <f ca="1">SUM(OFFSET($A$19,2,8,14,1))</f>
        <v>8413.090471800002</v>
      </c>
      <c r="J35" s="7">
        <f ca="1">SUM(OFFSET($A$19,2,9,14,1))</f>
        <v>81648.959095500002</v>
      </c>
      <c r="K35" s="7">
        <f ca="1">SUM(OFFSET($A$19,2,10,14,1))</f>
        <v>18047.9977961</v>
      </c>
      <c r="L35" s="7">
        <f ca="1">SUM(OFFSET($A$19,2,11,14,1))</f>
        <v>19577.701233700001</v>
      </c>
      <c r="M35" s="7">
        <f ca="1">SUM(OFFSET($A$19,2,12,14,1))</f>
        <v>27077.362557699998</v>
      </c>
      <c r="N35" s="7">
        <f ca="1">SUM(OFFSET($A$19,2,13,14,1))</f>
        <v>9637.6175566000002</v>
      </c>
      <c r="O35" s="7">
        <f ca="1">SUM(OFFSET($A$19,2,14,14,1))</f>
        <v>46915.587745500001</v>
      </c>
      <c r="P35" s="7">
        <f ca="1">SUM(OFFSET($A$19,16,1,1,14))</f>
        <v>464609.87934650003</v>
      </c>
      <c r="Q35" s="7">
        <f ca="1">SUM(OFFSET($A$19,16,1,1,12))</f>
        <v>408056.67404439999</v>
      </c>
    </row>
    <row r="36" spans="1:17" x14ac:dyDescent="0.2">
      <c r="O36" s="12" t="s">
        <v>59</v>
      </c>
      <c r="P36" s="7">
        <f ca="1">SUM(OFFSET($B$21,0,0,12,12))</f>
        <v>407061.21912299999</v>
      </c>
    </row>
    <row r="37" spans="1:17" x14ac:dyDescent="0.2">
      <c r="A37" s="7" t="s">
        <v>91</v>
      </c>
    </row>
    <row r="38" spans="1:17" x14ac:dyDescent="0.2"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7">
        <v>10</v>
      </c>
      <c r="L38" s="7">
        <v>11</v>
      </c>
      <c r="M38" s="7">
        <v>12</v>
      </c>
      <c r="N38" s="7">
        <v>13</v>
      </c>
      <c r="O38" s="7">
        <v>14</v>
      </c>
      <c r="P38" s="7" t="s">
        <v>43</v>
      </c>
      <c r="Q38" s="7" t="s">
        <v>61</v>
      </c>
    </row>
    <row r="39" spans="1:17" x14ac:dyDescent="0.2">
      <c r="A39" s="7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f ca="1">SUM(OFFSET($A$37,2,1,1,14))</f>
        <v>0</v>
      </c>
      <c r="Q39" s="7">
        <f ca="1">SUM(OFFSET($A$37,2,1,1,12))</f>
        <v>0</v>
      </c>
    </row>
    <row r="40" spans="1:17" x14ac:dyDescent="0.2">
      <c r="A40" s="7">
        <v>2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f ca="1">SUM(OFFSET($A$37,3,1,1,14))</f>
        <v>0</v>
      </c>
      <c r="Q40" s="7">
        <f ca="1">SUM(OFFSET($A$37,3,1,1,12))</f>
        <v>0</v>
      </c>
    </row>
    <row r="41" spans="1:17" x14ac:dyDescent="0.2">
      <c r="A41" s="7">
        <v>3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f ca="1">SUM(OFFSET($A$37,4,1,1,14))</f>
        <v>0</v>
      </c>
      <c r="Q41" s="7">
        <f ca="1">SUM(OFFSET($A$37,4,1,1,12))</f>
        <v>0</v>
      </c>
    </row>
    <row r="42" spans="1:17" x14ac:dyDescent="0.2">
      <c r="A42" s="7">
        <v>4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f ca="1">SUM(OFFSET($A$37,5,1,1,14))</f>
        <v>0</v>
      </c>
      <c r="Q42" s="7">
        <f ca="1">SUM(OFFSET($A$37,5,1,1,12))</f>
        <v>0</v>
      </c>
    </row>
    <row r="43" spans="1:17" x14ac:dyDescent="0.2">
      <c r="A43" s="7">
        <v>5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f ca="1">SUM(OFFSET($A$37,6,1,1,14))</f>
        <v>0</v>
      </c>
      <c r="Q43" s="7">
        <f ca="1">SUM(OFFSET($A$37,6,1,1,12))</f>
        <v>0</v>
      </c>
    </row>
    <row r="44" spans="1:17" x14ac:dyDescent="0.2">
      <c r="A44" s="7">
        <v>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f ca="1">SUM(OFFSET($A$37,7,1,1,14))</f>
        <v>0</v>
      </c>
      <c r="Q44" s="7">
        <f ca="1">SUM(OFFSET($A$37,7,1,1,12))</f>
        <v>0</v>
      </c>
    </row>
    <row r="45" spans="1:17" x14ac:dyDescent="0.2">
      <c r="A45" s="7">
        <v>7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f ca="1">SUM(OFFSET($A$37,8,1,1,14))</f>
        <v>0</v>
      </c>
      <c r="Q45" s="7">
        <f ca="1">SUM(OFFSET($A$37,8,1,1,12))</f>
        <v>0</v>
      </c>
    </row>
    <row r="46" spans="1:17" x14ac:dyDescent="0.2">
      <c r="A46" s="7">
        <v>8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f ca="1">SUM(OFFSET($A$37,9,1,1,14))</f>
        <v>0</v>
      </c>
      <c r="Q46" s="7">
        <f ca="1">SUM(OFFSET($A$37,9,1,1,12))</f>
        <v>0</v>
      </c>
    </row>
    <row r="47" spans="1:17" x14ac:dyDescent="0.2">
      <c r="A47" s="7">
        <v>9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f ca="1">SUM(OFFSET($A$37,10,1,1,14))</f>
        <v>0</v>
      </c>
      <c r="Q47" s="7">
        <f ca="1">SUM(OFFSET($A$37,10,1,1,12))</f>
        <v>0</v>
      </c>
    </row>
    <row r="48" spans="1:17" x14ac:dyDescent="0.2">
      <c r="A48" s="7">
        <v>10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f ca="1">SUM(OFFSET($A$37,11,1,1,14))</f>
        <v>0</v>
      </c>
      <c r="Q48" s="7">
        <f ca="1">SUM(OFFSET($A$37,11,1,1,12))</f>
        <v>0</v>
      </c>
    </row>
    <row r="49" spans="1:17" x14ac:dyDescent="0.2">
      <c r="A49" s="7">
        <v>11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f ca="1">SUM(OFFSET($A$37,12,1,1,14))</f>
        <v>0</v>
      </c>
      <c r="Q49" s="7">
        <f ca="1">SUM(OFFSET($A$37,12,1,1,12))</f>
        <v>0</v>
      </c>
    </row>
    <row r="50" spans="1:17" x14ac:dyDescent="0.2">
      <c r="A50" s="7">
        <v>12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f ca="1">SUM(OFFSET($A$37,13,1,1,14))</f>
        <v>0</v>
      </c>
      <c r="Q50" s="7">
        <f ca="1">SUM(OFFSET($A$37,13,1,1,12))</f>
        <v>0</v>
      </c>
    </row>
    <row r="51" spans="1:17" x14ac:dyDescent="0.2">
      <c r="A51" s="7">
        <v>13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f ca="1">SUM(OFFSET($A$37,14,1,1,14))</f>
        <v>0</v>
      </c>
      <c r="Q51" s="7">
        <f ca="1">SUM(OFFSET($A$37,14,1,1,12))</f>
        <v>0</v>
      </c>
    </row>
    <row r="52" spans="1:17" x14ac:dyDescent="0.2">
      <c r="A52" s="7">
        <v>14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f ca="1">SUM(OFFSET($A$37,15,1,1,14))</f>
        <v>0</v>
      </c>
      <c r="Q52" s="7">
        <f ca="1">SUM(OFFSET($A$37,15,1,1,12))</f>
        <v>0</v>
      </c>
    </row>
    <row r="53" spans="1:17" x14ac:dyDescent="0.2">
      <c r="A53" s="7" t="s">
        <v>43</v>
      </c>
      <c r="B53" s="7">
        <f ca="1">SUM(OFFSET($A$37,2,1,14,1))</f>
        <v>0</v>
      </c>
      <c r="C53" s="7">
        <f ca="1">SUM(OFFSET($A$37,2,2,14,1))</f>
        <v>0</v>
      </c>
      <c r="D53" s="7">
        <f ca="1">SUM(OFFSET($A$37,2,3,14,1))</f>
        <v>0</v>
      </c>
      <c r="E53" s="7">
        <f ca="1">SUM(OFFSET($A$37,2,4,14,1))</f>
        <v>0</v>
      </c>
      <c r="F53" s="7">
        <f ca="1">SUM(OFFSET($A$37,2,5,14,1))</f>
        <v>0</v>
      </c>
      <c r="G53" s="7">
        <f ca="1">SUM(OFFSET($A$37,2,6,14,1))</f>
        <v>0</v>
      </c>
      <c r="H53" s="7">
        <f ca="1">SUM(OFFSET($A$37,2,7,14,1))</f>
        <v>0</v>
      </c>
      <c r="I53" s="7">
        <f ca="1">SUM(OFFSET($A$37,2,8,14,1))</f>
        <v>0</v>
      </c>
      <c r="J53" s="7">
        <f ca="1">SUM(OFFSET($A$37,2,9,14,1))</f>
        <v>0</v>
      </c>
      <c r="K53" s="7">
        <f ca="1">SUM(OFFSET($A$37,2,10,14,1))</f>
        <v>0</v>
      </c>
      <c r="L53" s="7">
        <f ca="1">SUM(OFFSET($A$37,2,11,14,1))</f>
        <v>0</v>
      </c>
      <c r="M53" s="7">
        <f ca="1">SUM(OFFSET($A$37,2,12,14,1))</f>
        <v>0</v>
      </c>
      <c r="N53" s="7">
        <f ca="1">SUM(OFFSET($A$37,2,13,14,1))</f>
        <v>0</v>
      </c>
      <c r="O53" s="7">
        <f ca="1">SUM(OFFSET($A$37,2,14,14,1))</f>
        <v>0</v>
      </c>
      <c r="P53" s="7">
        <f ca="1">SUM(OFFSET($A$37,16,1,1,14))</f>
        <v>0</v>
      </c>
      <c r="Q53" s="7">
        <f ca="1">SUM(OFFSET($A$37,16,1,1,12))</f>
        <v>0</v>
      </c>
    </row>
    <row r="54" spans="1:17" x14ac:dyDescent="0.2">
      <c r="O54" s="12" t="s">
        <v>59</v>
      </c>
      <c r="P54" s="7">
        <f ca="1">SUM(OFFSET($B$39,0,0,12,12))</f>
        <v>0</v>
      </c>
    </row>
    <row r="55" spans="1:17" x14ac:dyDescent="0.2">
      <c r="A55" s="7" t="s">
        <v>93</v>
      </c>
    </row>
    <row r="56" spans="1:17" x14ac:dyDescent="0.2">
      <c r="B56" s="7">
        <v>1</v>
      </c>
      <c r="C56" s="7">
        <v>2</v>
      </c>
      <c r="D56" s="7">
        <v>3</v>
      </c>
      <c r="E56" s="7">
        <v>4</v>
      </c>
      <c r="F56" s="7">
        <v>5</v>
      </c>
      <c r="G56" s="7">
        <v>6</v>
      </c>
      <c r="H56" s="7">
        <v>7</v>
      </c>
      <c r="I56" s="7">
        <v>8</v>
      </c>
      <c r="J56" s="7">
        <v>9</v>
      </c>
      <c r="K56" s="7">
        <v>10</v>
      </c>
      <c r="L56" s="7">
        <v>11</v>
      </c>
      <c r="M56" s="7">
        <v>12</v>
      </c>
      <c r="N56" s="7">
        <v>13</v>
      </c>
      <c r="O56" s="7">
        <v>14</v>
      </c>
      <c r="P56" s="7" t="s">
        <v>43</v>
      </c>
      <c r="Q56" s="7" t="s">
        <v>61</v>
      </c>
    </row>
    <row r="57" spans="1:17" x14ac:dyDescent="0.2">
      <c r="A57" s="7">
        <v>1</v>
      </c>
      <c r="B57" s="7">
        <v>30.83043</v>
      </c>
      <c r="C57" s="7">
        <v>19.029810000000001</v>
      </c>
      <c r="D57" s="7">
        <v>2.7121240000000002</v>
      </c>
      <c r="E57" s="7">
        <v>1.9830129999999999</v>
      </c>
      <c r="F57" s="7">
        <v>0.50879640000000004</v>
      </c>
      <c r="G57" s="7">
        <v>1.56805E-2</v>
      </c>
      <c r="H57" s="7">
        <v>1.8281700000000001E-2</v>
      </c>
      <c r="I57" s="7">
        <v>3.5800000000000003E-5</v>
      </c>
      <c r="J57" s="7">
        <v>1.5169000000000001E-3</v>
      </c>
      <c r="K57" s="7">
        <v>1.5E-5</v>
      </c>
      <c r="L57" s="7">
        <v>1.74E-4</v>
      </c>
      <c r="M57" s="7">
        <v>6.9999999999999997E-7</v>
      </c>
      <c r="N57" s="7">
        <v>0</v>
      </c>
      <c r="O57" s="7">
        <v>0</v>
      </c>
      <c r="P57" s="7">
        <f ca="1">SUM(OFFSET($A$55,2,1,1,14))</f>
        <v>55.099878000000011</v>
      </c>
      <c r="Q57" s="7">
        <f ca="1">SUM(OFFSET($A$55,2,1,1,12))</f>
        <v>55.099878000000011</v>
      </c>
    </row>
    <row r="58" spans="1:17" x14ac:dyDescent="0.2">
      <c r="A58" s="7">
        <v>2</v>
      </c>
      <c r="B58" s="7">
        <v>25.153210000000001</v>
      </c>
      <c r="C58" s="7">
        <v>217.43979999999999</v>
      </c>
      <c r="D58" s="7">
        <v>6.7485220000000004</v>
      </c>
      <c r="E58" s="7">
        <v>14.605880000000001</v>
      </c>
      <c r="F58" s="7">
        <v>5.488683</v>
      </c>
      <c r="G58" s="7">
        <v>0.3112819</v>
      </c>
      <c r="H58" s="7">
        <v>0.13753299999999999</v>
      </c>
      <c r="I58" s="7">
        <v>3.6610000000000001E-4</v>
      </c>
      <c r="J58" s="7">
        <v>1.5908800000000001E-2</v>
      </c>
      <c r="K58" s="7">
        <v>9.8800000000000003E-5</v>
      </c>
      <c r="L58" s="7">
        <v>7.9319999999999998E-3</v>
      </c>
      <c r="M58" s="7">
        <v>8.0400000000000003E-5</v>
      </c>
      <c r="N58" s="7">
        <v>0</v>
      </c>
      <c r="O58" s="7">
        <v>0</v>
      </c>
      <c r="P58" s="7">
        <f ca="1">SUM(OFFSET($A$55,3,1,1,14))</f>
        <v>269.90929599999993</v>
      </c>
      <c r="Q58" s="7">
        <f ca="1">SUM(OFFSET($A$55,3,1,1,12))</f>
        <v>269.90929599999993</v>
      </c>
    </row>
    <row r="59" spans="1:17" x14ac:dyDescent="0.2">
      <c r="A59" s="7">
        <v>3</v>
      </c>
      <c r="B59" s="7">
        <v>5.1434930000000003</v>
      </c>
      <c r="C59" s="7">
        <v>8.7390760000000007</v>
      </c>
      <c r="D59" s="7">
        <v>95.020319999999998</v>
      </c>
      <c r="E59" s="7">
        <v>180.01060000000001</v>
      </c>
      <c r="F59" s="7">
        <v>6.6769239999999996</v>
      </c>
      <c r="G59" s="7">
        <v>0.30578139999999998</v>
      </c>
      <c r="H59" s="7">
        <v>2.5335200000000002</v>
      </c>
      <c r="I59" s="7">
        <v>1.16936E-2</v>
      </c>
      <c r="J59" s="7">
        <v>4.6707899999999997E-2</v>
      </c>
      <c r="K59" s="7">
        <v>3.7342999999999999E-3</v>
      </c>
      <c r="L59" s="7">
        <v>8.1106000000000008E-3</v>
      </c>
      <c r="M59" s="7">
        <v>6.3219999999999997E-4</v>
      </c>
      <c r="N59" s="7">
        <v>0</v>
      </c>
      <c r="O59" s="7">
        <v>0</v>
      </c>
      <c r="P59" s="7">
        <f ca="1">SUM(OFFSET($A$55,4,1,1,14))</f>
        <v>298.50059300000004</v>
      </c>
      <c r="Q59" s="7">
        <f ca="1">SUM(OFFSET($A$55,4,1,1,12))</f>
        <v>298.50059300000004</v>
      </c>
    </row>
    <row r="60" spans="1:17" x14ac:dyDescent="0.2">
      <c r="A60" s="7">
        <v>4</v>
      </c>
      <c r="B60" s="7">
        <v>2.0516450000000002</v>
      </c>
      <c r="C60" s="7">
        <v>13.61589</v>
      </c>
      <c r="D60" s="7">
        <v>115.7623</v>
      </c>
      <c r="E60" s="7">
        <v>1863.066</v>
      </c>
      <c r="F60" s="7">
        <v>76.353589999999997</v>
      </c>
      <c r="G60" s="7">
        <v>3.6494279999999999</v>
      </c>
      <c r="H60" s="7">
        <v>22.32375</v>
      </c>
      <c r="I60" s="7">
        <v>0.5532395</v>
      </c>
      <c r="J60" s="7">
        <v>2.9437509999999998</v>
      </c>
      <c r="K60" s="7">
        <v>9.6417500000000003E-2</v>
      </c>
      <c r="L60" s="7">
        <v>0.1073243</v>
      </c>
      <c r="M60" s="7">
        <v>4.725E-3</v>
      </c>
      <c r="N60" s="7">
        <v>0</v>
      </c>
      <c r="O60" s="7">
        <v>0</v>
      </c>
      <c r="P60" s="7">
        <f ca="1">SUM(OFFSET($A$55,5,1,1,14))</f>
        <v>2100.5280602999997</v>
      </c>
      <c r="Q60" s="7">
        <f ca="1">SUM(OFFSET($A$55,5,1,1,12))</f>
        <v>2100.5280602999997</v>
      </c>
    </row>
    <row r="61" spans="1:17" x14ac:dyDescent="0.2">
      <c r="A61" s="7">
        <v>5</v>
      </c>
      <c r="B61" s="7">
        <v>0.98593330000000001</v>
      </c>
      <c r="C61" s="7">
        <v>9.0445440000000001</v>
      </c>
      <c r="D61" s="7">
        <v>6.8548559999999998</v>
      </c>
      <c r="E61" s="7">
        <v>148.53440000000001</v>
      </c>
      <c r="F61" s="7">
        <v>672.58019999999999</v>
      </c>
      <c r="G61" s="7">
        <v>53.96387</v>
      </c>
      <c r="H61" s="7">
        <v>17.025030000000001</v>
      </c>
      <c r="I61" s="7">
        <v>0.58650150000000001</v>
      </c>
      <c r="J61" s="7">
        <v>13.80866</v>
      </c>
      <c r="K61" s="7">
        <v>0.24119560000000001</v>
      </c>
      <c r="L61" s="7">
        <v>2.3302779999999998</v>
      </c>
      <c r="M61" s="7">
        <v>0.30008820000000003</v>
      </c>
      <c r="N61" s="7">
        <v>0</v>
      </c>
      <c r="O61" s="7">
        <v>0</v>
      </c>
      <c r="P61" s="7">
        <f ca="1">SUM(OFFSET($A$55,6,1,1,14))</f>
        <v>926.2555566000002</v>
      </c>
      <c r="Q61" s="7">
        <f ca="1">SUM(OFFSET($A$55,6,1,1,12))</f>
        <v>926.2555566000002</v>
      </c>
    </row>
    <row r="62" spans="1:17" x14ac:dyDescent="0.2">
      <c r="A62" s="7">
        <v>6</v>
      </c>
      <c r="B62" s="7">
        <v>2.0215799999999999E-2</v>
      </c>
      <c r="C62" s="7">
        <v>0.35718810000000001</v>
      </c>
      <c r="D62" s="7">
        <v>0.1753401</v>
      </c>
      <c r="E62" s="7">
        <v>4.1293740000000003</v>
      </c>
      <c r="F62" s="7">
        <v>30.868130000000001</v>
      </c>
      <c r="G62" s="7">
        <v>264.86829999999998</v>
      </c>
      <c r="H62" s="7">
        <v>0.69251220000000002</v>
      </c>
      <c r="I62" s="7">
        <v>1.49868E-2</v>
      </c>
      <c r="J62" s="7">
        <v>2.1613470000000001</v>
      </c>
      <c r="K62" s="7">
        <v>1.7377799999999999E-2</v>
      </c>
      <c r="L62" s="7">
        <v>1.79573</v>
      </c>
      <c r="M62" s="7">
        <v>0.37779669999999999</v>
      </c>
      <c r="N62" s="7">
        <v>0</v>
      </c>
      <c r="O62" s="7">
        <v>0</v>
      </c>
      <c r="P62" s="7">
        <f ca="1">SUM(OFFSET($A$55,7,1,1,14))</f>
        <v>305.47829849999994</v>
      </c>
      <c r="Q62" s="7">
        <f ca="1">SUM(OFFSET($A$55,7,1,1,12))</f>
        <v>305.47829849999994</v>
      </c>
    </row>
    <row r="63" spans="1:17" x14ac:dyDescent="0.2">
      <c r="A63" s="7">
        <v>7</v>
      </c>
      <c r="B63" s="7">
        <v>2.6432899999999999E-2</v>
      </c>
      <c r="C63" s="7">
        <v>0.13696810000000001</v>
      </c>
      <c r="D63" s="7">
        <v>2.479498</v>
      </c>
      <c r="E63" s="7">
        <v>34.08896</v>
      </c>
      <c r="F63" s="7">
        <v>7.6467650000000003</v>
      </c>
      <c r="G63" s="7">
        <v>0.58027139999999999</v>
      </c>
      <c r="H63" s="7">
        <v>338.64100000000002</v>
      </c>
      <c r="I63" s="7">
        <v>2.896118</v>
      </c>
      <c r="J63" s="7">
        <v>8.3150580000000005</v>
      </c>
      <c r="K63" s="7">
        <v>1.37585</v>
      </c>
      <c r="L63" s="7">
        <v>2.1782300000000001E-2</v>
      </c>
      <c r="M63" s="7">
        <v>5.6254100000000001E-2</v>
      </c>
      <c r="N63" s="7">
        <v>0</v>
      </c>
      <c r="O63" s="7">
        <v>0</v>
      </c>
      <c r="P63" s="7">
        <f ca="1">SUM(OFFSET($A$55,8,1,1,14))</f>
        <v>396.26495780000005</v>
      </c>
      <c r="Q63" s="7">
        <f ca="1">SUM(OFFSET($A$55,8,1,1,12))</f>
        <v>396.26495780000005</v>
      </c>
    </row>
    <row r="64" spans="1:17" x14ac:dyDescent="0.2">
      <c r="A64" s="7">
        <v>8</v>
      </c>
      <c r="B64" s="7">
        <v>3.1099999999999997E-5</v>
      </c>
      <c r="C64" s="7">
        <v>2.6039999999999999E-4</v>
      </c>
      <c r="D64" s="7">
        <v>4.8568999999999999E-3</v>
      </c>
      <c r="E64" s="7">
        <v>0.55236240000000003</v>
      </c>
      <c r="F64" s="7">
        <v>0.1999523</v>
      </c>
      <c r="G64" s="7">
        <v>7.3331999999999998E-3</v>
      </c>
      <c r="H64" s="7">
        <v>2.1435430000000002</v>
      </c>
      <c r="I64" s="7">
        <v>30.51071</v>
      </c>
      <c r="J64" s="7">
        <v>2.59998</v>
      </c>
      <c r="K64" s="7">
        <v>0.40591559999999999</v>
      </c>
      <c r="L64" s="7">
        <v>1.4430000000000001E-4</v>
      </c>
      <c r="M64" s="7">
        <v>2.79032E-2</v>
      </c>
      <c r="N64" s="7">
        <v>0</v>
      </c>
      <c r="O64" s="7">
        <v>1.9999999999999999E-7</v>
      </c>
      <c r="P64" s="7">
        <f ca="1">SUM(OFFSET($A$55,9,1,1,14))</f>
        <v>36.452992600000002</v>
      </c>
      <c r="Q64" s="7">
        <f ca="1">SUM(OFFSET($A$55,9,1,1,12))</f>
        <v>36.452992399999999</v>
      </c>
    </row>
    <row r="65" spans="1:17" x14ac:dyDescent="0.2">
      <c r="A65" s="7">
        <v>9</v>
      </c>
      <c r="B65" s="7">
        <v>1.5678000000000001E-3</v>
      </c>
      <c r="C65" s="7">
        <v>1.81575E-2</v>
      </c>
      <c r="D65" s="7">
        <v>3.0069700000000001E-2</v>
      </c>
      <c r="E65" s="7">
        <v>4.1565219999999998</v>
      </c>
      <c r="F65" s="7">
        <v>7.0503619999999998</v>
      </c>
      <c r="G65" s="7">
        <v>2.3500890000000001</v>
      </c>
      <c r="H65" s="7">
        <v>8.5105400000000007</v>
      </c>
      <c r="I65" s="7">
        <v>4.1163809999999996</v>
      </c>
      <c r="J65" s="7">
        <v>634.62369999999999</v>
      </c>
      <c r="K65" s="7">
        <v>12.48789</v>
      </c>
      <c r="L65" s="7">
        <v>0.28141329999999998</v>
      </c>
      <c r="M65" s="7">
        <v>12.56657</v>
      </c>
      <c r="N65" s="7">
        <v>1.6799999999999998E-5</v>
      </c>
      <c r="O65" s="7">
        <v>2.5330100000000001E-2</v>
      </c>
      <c r="P65" s="7">
        <f ca="1">SUM(OFFSET($A$55,10,1,1,14))</f>
        <v>686.21860920000006</v>
      </c>
      <c r="Q65" s="7">
        <f ca="1">SUM(OFFSET($A$55,10,1,1,12))</f>
        <v>686.19326230000001</v>
      </c>
    </row>
    <row r="66" spans="1:17" x14ac:dyDescent="0.2">
      <c r="A66" s="7">
        <v>10</v>
      </c>
      <c r="B66" s="7">
        <v>1.29E-5</v>
      </c>
      <c r="C66" s="7">
        <v>8.2899999999999996E-5</v>
      </c>
      <c r="D66" s="7">
        <v>1.5005999999999999E-3</v>
      </c>
      <c r="E66" s="7">
        <v>9.8344799999999996E-2</v>
      </c>
      <c r="F66" s="7">
        <v>0.1147205</v>
      </c>
      <c r="G66" s="7">
        <v>1.43217E-2</v>
      </c>
      <c r="H66" s="7">
        <v>0.99580829999999998</v>
      </c>
      <c r="I66" s="7">
        <v>0.42613719999999999</v>
      </c>
      <c r="J66" s="7">
        <v>10.31907</v>
      </c>
      <c r="K66" s="7">
        <v>81.927220000000005</v>
      </c>
      <c r="L66" s="7">
        <v>6.1839999999999996E-4</v>
      </c>
      <c r="M66" s="7">
        <v>1.53087</v>
      </c>
      <c r="N66" s="7">
        <v>0</v>
      </c>
      <c r="O66" s="7">
        <v>2.475E-4</v>
      </c>
      <c r="P66" s="7">
        <f ca="1">SUM(OFFSET($A$55,11,1,1,14))</f>
        <v>95.4289548</v>
      </c>
      <c r="Q66" s="7">
        <f ca="1">SUM(OFFSET($A$55,11,1,1,12))</f>
        <v>95.428707299999999</v>
      </c>
    </row>
    <row r="67" spans="1:17" x14ac:dyDescent="0.2">
      <c r="A67" s="7">
        <v>11</v>
      </c>
      <c r="B67" s="7">
        <v>1.5430000000000001E-4</v>
      </c>
      <c r="C67" s="7">
        <v>6.1479999999999998E-3</v>
      </c>
      <c r="D67" s="7">
        <v>3.0266E-3</v>
      </c>
      <c r="E67" s="7">
        <v>8.0880300000000002E-2</v>
      </c>
      <c r="F67" s="7">
        <v>0.84246270000000001</v>
      </c>
      <c r="G67" s="7">
        <v>1.263565</v>
      </c>
      <c r="H67" s="7">
        <v>1.6638699999999999E-2</v>
      </c>
      <c r="I67" s="7">
        <v>1.7909999999999999E-4</v>
      </c>
      <c r="J67" s="7">
        <v>0.19889689999999999</v>
      </c>
      <c r="K67" s="7">
        <v>4.772E-4</v>
      </c>
      <c r="L67" s="7">
        <v>76.044120000000007</v>
      </c>
      <c r="M67" s="7">
        <v>0.37248829999999999</v>
      </c>
      <c r="N67" s="7">
        <v>0</v>
      </c>
      <c r="O67" s="7">
        <v>2.3670000000000001E-4</v>
      </c>
      <c r="P67" s="7">
        <f ca="1">SUM(OFFSET($A$55,12,1,1,14))</f>
        <v>78.82927380000001</v>
      </c>
      <c r="Q67" s="7">
        <f ca="1">SUM(OFFSET($A$55,12,1,1,12))</f>
        <v>78.829037100000008</v>
      </c>
    </row>
    <row r="68" spans="1:17" x14ac:dyDescent="0.2">
      <c r="A68" s="7">
        <v>12</v>
      </c>
      <c r="B68" s="7">
        <v>1.7E-6</v>
      </c>
      <c r="C68" s="7">
        <v>3.2539999999999999E-4</v>
      </c>
      <c r="D68" s="7">
        <v>2.8370000000000001E-4</v>
      </c>
      <c r="E68" s="7">
        <v>3.9820000000000003E-3</v>
      </c>
      <c r="F68" s="7">
        <v>0.1140192</v>
      </c>
      <c r="G68" s="7">
        <v>0.28719159999999999</v>
      </c>
      <c r="H68" s="7">
        <v>4.2363999999999999E-2</v>
      </c>
      <c r="I68" s="7">
        <v>2.6976799999999999E-2</v>
      </c>
      <c r="J68" s="7">
        <v>13.50142</v>
      </c>
      <c r="K68" s="7">
        <v>1.439954</v>
      </c>
      <c r="L68" s="7">
        <v>0.38966329999999999</v>
      </c>
      <c r="M68" s="7">
        <v>100.8289</v>
      </c>
      <c r="N68" s="7">
        <v>3.9817999999999997E-3</v>
      </c>
      <c r="O68" s="7">
        <v>1.474807</v>
      </c>
      <c r="P68" s="7">
        <f ca="1">SUM(OFFSET($A$55,13,1,1,14))</f>
        <v>118.1138705</v>
      </c>
      <c r="Q68" s="7">
        <f ca="1">SUM(OFFSET($A$55,13,1,1,12))</f>
        <v>116.6350817</v>
      </c>
    </row>
    <row r="69" spans="1:17" x14ac:dyDescent="0.2">
      <c r="A69" s="7">
        <v>13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1.1999999999999999E-6</v>
      </c>
      <c r="K69" s="7">
        <v>0</v>
      </c>
      <c r="L69" s="7">
        <v>0</v>
      </c>
      <c r="M69" s="7">
        <v>3.6719000000000001E-3</v>
      </c>
      <c r="N69" s="7">
        <v>19.800709999999999</v>
      </c>
      <c r="O69" s="7">
        <v>2.569445</v>
      </c>
      <c r="P69" s="7">
        <f ca="1">SUM(OFFSET($A$55,14,1,1,14))</f>
        <v>22.373828099999997</v>
      </c>
      <c r="Q69" s="7">
        <f ca="1">SUM(OFFSET($A$55,14,1,1,12))</f>
        <v>3.6730999999999999E-3</v>
      </c>
    </row>
    <row r="70" spans="1:17" x14ac:dyDescent="0.2">
      <c r="A70" s="7">
        <v>14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1.3681499999999999E-2</v>
      </c>
      <c r="K70" s="7">
        <v>0</v>
      </c>
      <c r="L70" s="7">
        <v>1.34E-5</v>
      </c>
      <c r="M70" s="7">
        <v>1.425894</v>
      </c>
      <c r="N70" s="7">
        <v>2.5265879999999998</v>
      </c>
      <c r="O70" s="7">
        <v>161.73009999999999</v>
      </c>
      <c r="P70" s="7">
        <f ca="1">SUM(OFFSET($A$55,15,1,1,14))</f>
        <v>165.69627689999999</v>
      </c>
      <c r="Q70" s="7">
        <f ca="1">SUM(OFFSET($A$55,15,1,1,12))</f>
        <v>1.4395888999999999</v>
      </c>
    </row>
    <row r="71" spans="1:17" x14ac:dyDescent="0.2">
      <c r="A71" s="7" t="s">
        <v>43</v>
      </c>
      <c r="B71" s="7">
        <f ca="1">SUM(OFFSET($A$55,2,1,14,1))</f>
        <v>64.213127800000024</v>
      </c>
      <c r="C71" s="7">
        <f ca="1">SUM(OFFSET($A$55,2,2,14,1))</f>
        <v>268.38825039999989</v>
      </c>
      <c r="D71" s="7">
        <f ca="1">SUM(OFFSET($A$55,2,3,14,1))</f>
        <v>229.79269760000005</v>
      </c>
      <c r="E71" s="7">
        <f ca="1">SUM(OFFSET($A$55,2,4,14,1))</f>
        <v>2251.3103185000009</v>
      </c>
      <c r="F71" s="7">
        <f ca="1">SUM(OFFSET($A$55,2,5,14,1))</f>
        <v>808.44460509999988</v>
      </c>
      <c r="G71" s="7">
        <f ca="1">SUM(OFFSET($A$55,2,6,14,1))</f>
        <v>327.61711370000006</v>
      </c>
      <c r="H71" s="7">
        <f ca="1">SUM(OFFSET($A$55,2,7,14,1))</f>
        <v>393.08052090000007</v>
      </c>
      <c r="I71" s="7">
        <f ca="1">SUM(OFFSET($A$55,2,8,14,1))</f>
        <v>39.143325399999995</v>
      </c>
      <c r="J71" s="7">
        <f ca="1">SUM(OFFSET($A$55,2,9,14,1))</f>
        <v>688.54969920000008</v>
      </c>
      <c r="K71" s="7">
        <f ca="1">SUM(OFFSET($A$55,2,10,14,1))</f>
        <v>97.996145800000008</v>
      </c>
      <c r="L71" s="7">
        <f ca="1">SUM(OFFSET($A$55,2,11,14,1))</f>
        <v>80.987303900000001</v>
      </c>
      <c r="M71" s="7">
        <f ca="1">SUM(OFFSET($A$55,2,12,14,1))</f>
        <v>117.4958747</v>
      </c>
      <c r="N71" s="7">
        <f ca="1">SUM(OFFSET($A$55,2,13,14,1))</f>
        <v>22.331296599999998</v>
      </c>
      <c r="O71" s="7">
        <f ca="1">SUM(OFFSET($A$55,2,14,14,1))</f>
        <v>165.80016649999999</v>
      </c>
      <c r="P71" s="7">
        <f ca="1">SUM(OFFSET($A$55,16,1,1,14))</f>
        <v>5555.1504461000022</v>
      </c>
      <c r="Q71" s="7">
        <f ca="1">SUM(OFFSET($A$55,16,1,1,12))</f>
        <v>5367.0189830000018</v>
      </c>
    </row>
    <row r="72" spans="1:17" x14ac:dyDescent="0.2">
      <c r="O72" s="12" t="s">
        <v>59</v>
      </c>
      <c r="P72" s="7">
        <f ca="1">SUM(OFFSET($B$57,0,0,12,12))</f>
        <v>5365.5757210000047</v>
      </c>
    </row>
    <row r="73" spans="1:17" x14ac:dyDescent="0.2">
      <c r="A73" s="7" t="s">
        <v>95</v>
      </c>
    </row>
    <row r="74" spans="1:17" x14ac:dyDescent="0.2">
      <c r="B74" s="7">
        <v>1</v>
      </c>
      <c r="C74" s="7">
        <v>2</v>
      </c>
      <c r="D74" s="7">
        <v>3</v>
      </c>
      <c r="E74" s="7">
        <v>4</v>
      </c>
      <c r="F74" s="7">
        <v>5</v>
      </c>
      <c r="G74" s="7">
        <v>6</v>
      </c>
      <c r="H74" s="7">
        <v>7</v>
      </c>
      <c r="I74" s="7">
        <v>8</v>
      </c>
      <c r="J74" s="7">
        <v>9</v>
      </c>
      <c r="K74" s="7">
        <v>10</v>
      </c>
      <c r="L74" s="7">
        <v>11</v>
      </c>
      <c r="M74" s="7">
        <v>12</v>
      </c>
      <c r="N74" s="7">
        <v>13</v>
      </c>
      <c r="O74" s="7">
        <v>14</v>
      </c>
      <c r="P74" s="7" t="s">
        <v>43</v>
      </c>
      <c r="Q74" s="7" t="s">
        <v>61</v>
      </c>
    </row>
    <row r="75" spans="1:17" x14ac:dyDescent="0.2">
      <c r="A75" s="7">
        <v>1</v>
      </c>
      <c r="B75" s="7">
        <v>0</v>
      </c>
      <c r="C75" s="7">
        <v>0.19146150000000001</v>
      </c>
      <c r="D75" s="7">
        <v>1.1256900000000001</v>
      </c>
      <c r="E75" s="7">
        <v>3.298244</v>
      </c>
      <c r="F75" s="7">
        <v>0.94926900000000003</v>
      </c>
      <c r="G75" s="7">
        <v>3.8408200000000003E-2</v>
      </c>
      <c r="H75" s="7">
        <v>5.7942800000000003E-2</v>
      </c>
      <c r="I75" s="7">
        <v>9.87E-5</v>
      </c>
      <c r="J75" s="7">
        <v>8.9703000000000005E-3</v>
      </c>
      <c r="K75" s="7">
        <v>4.6600000000000001E-5</v>
      </c>
      <c r="L75" s="7">
        <v>5.3189999999999997E-4</v>
      </c>
      <c r="M75" s="7">
        <v>6.7399999999999998E-5</v>
      </c>
      <c r="N75" s="7">
        <v>0</v>
      </c>
      <c r="O75" s="7">
        <v>0</v>
      </c>
      <c r="P75" s="7">
        <f ca="1">SUM(OFFSET($A$73,2,1,1,14))</f>
        <v>5.6707304000000001</v>
      </c>
      <c r="Q75" s="7">
        <f ca="1">SUM(OFFSET($A$73,2,1,1,12))</f>
        <v>5.6707304000000001</v>
      </c>
    </row>
    <row r="76" spans="1:17" x14ac:dyDescent="0.2">
      <c r="A76" s="7">
        <v>2</v>
      </c>
      <c r="B76" s="7">
        <v>0</v>
      </c>
      <c r="C76" s="7">
        <v>0</v>
      </c>
      <c r="D76" s="7">
        <v>7.7825879999999996</v>
      </c>
      <c r="E76" s="7">
        <v>13.85389</v>
      </c>
      <c r="F76" s="7">
        <v>4.6322070000000002</v>
      </c>
      <c r="G76" s="7">
        <v>0.62243789999999999</v>
      </c>
      <c r="H76" s="7">
        <v>0.30597469999999999</v>
      </c>
      <c r="I76" s="7">
        <v>8.1780000000000004E-4</v>
      </c>
      <c r="J76" s="7">
        <v>0.1027487</v>
      </c>
      <c r="K76" s="7">
        <v>2.656E-4</v>
      </c>
      <c r="L76" s="7">
        <v>1.95893E-2</v>
      </c>
      <c r="M76" s="7">
        <v>2.3205999999999999E-3</v>
      </c>
      <c r="N76" s="7">
        <v>0</v>
      </c>
      <c r="O76" s="7">
        <v>0</v>
      </c>
      <c r="P76" s="7">
        <f ca="1">SUM(OFFSET($A$73,3,1,1,14))</f>
        <v>27.322839600000002</v>
      </c>
      <c r="Q76" s="7">
        <f ca="1">SUM(OFFSET($A$73,3,1,1,12))</f>
        <v>27.322839600000002</v>
      </c>
    </row>
    <row r="77" spans="1:17" x14ac:dyDescent="0.2">
      <c r="A77" s="7">
        <v>3</v>
      </c>
      <c r="B77" s="7">
        <v>1.97749</v>
      </c>
      <c r="C77" s="7">
        <v>23.142949999999999</v>
      </c>
      <c r="D77" s="7">
        <v>55.156019999999998</v>
      </c>
      <c r="E77" s="7">
        <v>293.32409999999999</v>
      </c>
      <c r="F77" s="7">
        <v>18.837510000000002</v>
      </c>
      <c r="G77" s="7">
        <v>1.142239</v>
      </c>
      <c r="H77" s="7">
        <v>10.249309999999999</v>
      </c>
      <c r="I77" s="7">
        <v>5.0769500000000002E-2</v>
      </c>
      <c r="J77" s="7">
        <v>0.26850380000000001</v>
      </c>
      <c r="K77" s="7">
        <v>1.7468399999999999E-2</v>
      </c>
      <c r="L77" s="7">
        <v>3.8608000000000003E-2</v>
      </c>
      <c r="M77" s="7">
        <v>4.7532E-3</v>
      </c>
      <c r="N77" s="7">
        <v>0</v>
      </c>
      <c r="O77" s="7">
        <v>5.9999999999999997E-7</v>
      </c>
      <c r="P77" s="7">
        <f ca="1">SUM(OFFSET($A$73,4,1,1,14))</f>
        <v>404.2097225</v>
      </c>
      <c r="Q77" s="7">
        <f ca="1">SUM(OFFSET($A$73,4,1,1,12))</f>
        <v>404.20972189999998</v>
      </c>
    </row>
    <row r="78" spans="1:17" x14ac:dyDescent="0.2">
      <c r="A78" s="7">
        <v>4</v>
      </c>
      <c r="B78" s="7">
        <v>6.1454800000000001</v>
      </c>
      <c r="C78" s="7">
        <v>26.71912</v>
      </c>
      <c r="D78" s="7">
        <v>215.15219999999999</v>
      </c>
      <c r="E78" s="7">
        <v>728.54179999999997</v>
      </c>
      <c r="F78" s="7">
        <v>165.1559</v>
      </c>
      <c r="G78" s="7">
        <v>14.186640000000001</v>
      </c>
      <c r="H78" s="7">
        <v>76.407619999999994</v>
      </c>
      <c r="I78" s="7">
        <v>2.0431379999999999</v>
      </c>
      <c r="J78" s="7">
        <v>14.532260000000001</v>
      </c>
      <c r="K78" s="7">
        <v>0.41620099999999999</v>
      </c>
      <c r="L78" s="7">
        <v>0.49943120000000002</v>
      </c>
      <c r="M78" s="7">
        <v>2.9156399999999999E-2</v>
      </c>
      <c r="N78" s="7">
        <v>0</v>
      </c>
      <c r="O78" s="7">
        <v>2.7900000000000001E-5</v>
      </c>
      <c r="P78" s="7">
        <f ca="1">SUM(OFFSET($A$73,5,1,1,14))</f>
        <v>1249.8289744999997</v>
      </c>
      <c r="Q78" s="7">
        <f ca="1">SUM(OFFSET($A$73,5,1,1,12))</f>
        <v>1249.8289465999997</v>
      </c>
    </row>
    <row r="79" spans="1:17" x14ac:dyDescent="0.2">
      <c r="A79" s="7">
        <v>5</v>
      </c>
      <c r="B79" s="7">
        <v>1.2348159999999999</v>
      </c>
      <c r="C79" s="7">
        <v>6.8310979999999999</v>
      </c>
      <c r="D79" s="7">
        <v>8.4156399999999998</v>
      </c>
      <c r="E79" s="7">
        <v>126.7704</v>
      </c>
      <c r="F79" s="7">
        <v>341.46460000000002</v>
      </c>
      <c r="G79" s="7">
        <v>44.584980000000002</v>
      </c>
      <c r="H79" s="7">
        <v>13.867240000000001</v>
      </c>
      <c r="I79" s="7">
        <v>0.38877020000000001</v>
      </c>
      <c r="J79" s="7">
        <v>20.532609999999998</v>
      </c>
      <c r="K79" s="7">
        <v>0.4723908</v>
      </c>
      <c r="L79" s="7">
        <v>2.726693</v>
      </c>
      <c r="M79" s="7">
        <v>0.57277929999999999</v>
      </c>
      <c r="N79" s="7">
        <v>0</v>
      </c>
      <c r="O79" s="7">
        <v>5.5449999999999998E-4</v>
      </c>
      <c r="P79" s="7">
        <f ca="1">SUM(OFFSET($A$73,6,1,1,14))</f>
        <v>567.86257179999984</v>
      </c>
      <c r="Q79" s="7">
        <f ca="1">SUM(OFFSET($A$73,6,1,1,12))</f>
        <v>567.86201729999982</v>
      </c>
    </row>
    <row r="80" spans="1:17" x14ac:dyDescent="0.2">
      <c r="A80" s="7">
        <v>6</v>
      </c>
      <c r="B80" s="7">
        <v>4.09044E-2</v>
      </c>
      <c r="C80" s="7">
        <v>0.71441659999999996</v>
      </c>
      <c r="D80" s="7">
        <v>0.36826130000000001</v>
      </c>
      <c r="E80" s="7">
        <v>8.7725089999999994</v>
      </c>
      <c r="F80" s="7">
        <v>37.566949999999999</v>
      </c>
      <c r="G80" s="7">
        <v>25.155419999999999</v>
      </c>
      <c r="H80" s="7">
        <v>1.384439</v>
      </c>
      <c r="I80" s="7">
        <v>3.0637999999999999E-2</v>
      </c>
      <c r="J80" s="7">
        <v>6.8471419999999998</v>
      </c>
      <c r="K80" s="7">
        <v>5.9363100000000002E-2</v>
      </c>
      <c r="L80" s="7">
        <v>1.9864300000000001E-2</v>
      </c>
      <c r="M80" s="7">
        <v>0.6557385</v>
      </c>
      <c r="N80" s="7">
        <v>0</v>
      </c>
      <c r="O80" s="7">
        <v>2.7470000000000001E-4</v>
      </c>
      <c r="P80" s="7">
        <f ca="1">SUM(OFFSET($A$73,7,1,1,14))</f>
        <v>81.615920900000006</v>
      </c>
      <c r="Q80" s="7">
        <f ca="1">SUM(OFFSET($A$73,7,1,1,12))</f>
        <v>81.6156462</v>
      </c>
    </row>
    <row r="81" spans="1:17" x14ac:dyDescent="0.2">
      <c r="A81" s="7">
        <v>7</v>
      </c>
      <c r="B81" s="7">
        <v>6.3122200000000003E-2</v>
      </c>
      <c r="C81" s="7">
        <v>0.33791199999999999</v>
      </c>
      <c r="D81" s="7">
        <v>4.6832919999999998</v>
      </c>
      <c r="E81" s="7">
        <v>55.75665</v>
      </c>
      <c r="F81" s="7">
        <v>11.19821</v>
      </c>
      <c r="G81" s="7">
        <v>1.25424</v>
      </c>
      <c r="H81" s="7">
        <v>33.145130000000002</v>
      </c>
      <c r="I81" s="7">
        <v>1.305882</v>
      </c>
      <c r="J81" s="7">
        <v>8.4834019999999999</v>
      </c>
      <c r="K81" s="7">
        <v>1.0495829999999999</v>
      </c>
      <c r="L81" s="7">
        <v>5.2626699999999998E-2</v>
      </c>
      <c r="M81" s="7">
        <v>0.1150853</v>
      </c>
      <c r="N81" s="7">
        <v>0</v>
      </c>
      <c r="O81" s="7">
        <v>0</v>
      </c>
      <c r="P81" s="7">
        <f ca="1">SUM(OFFSET($A$73,8,1,1,14))</f>
        <v>117.4451352</v>
      </c>
      <c r="Q81" s="7">
        <f ca="1">SUM(OFFSET($A$73,8,1,1,12))</f>
        <v>117.4451352</v>
      </c>
    </row>
    <row r="82" spans="1:17" x14ac:dyDescent="0.2">
      <c r="A82" s="7">
        <v>8</v>
      </c>
      <c r="B82" s="7">
        <v>8.6000000000000003E-5</v>
      </c>
      <c r="C82" s="7">
        <v>7.5920000000000002E-4</v>
      </c>
      <c r="D82" s="7">
        <v>1.30604E-2</v>
      </c>
      <c r="E82" s="7">
        <v>1.2509539999999999</v>
      </c>
      <c r="F82" s="7">
        <v>0.29338540000000002</v>
      </c>
      <c r="G82" s="7">
        <v>2.69216E-2</v>
      </c>
      <c r="H82" s="7">
        <v>0.65085249999999994</v>
      </c>
      <c r="I82" s="7">
        <v>4.4040000000000003E-4</v>
      </c>
      <c r="J82" s="7">
        <v>0.58395269999999999</v>
      </c>
      <c r="K82" s="7">
        <v>2.0925699999999998E-2</v>
      </c>
      <c r="L82" s="7">
        <v>5.9029999999999998E-4</v>
      </c>
      <c r="M82" s="7">
        <v>3.4049500000000003E-2</v>
      </c>
      <c r="N82" s="7">
        <v>0</v>
      </c>
      <c r="O82" s="7">
        <v>3.9999999999999998E-7</v>
      </c>
      <c r="P82" s="7">
        <f ca="1">SUM(OFFSET($A$73,9,1,1,14))</f>
        <v>2.8759780999999993</v>
      </c>
      <c r="Q82" s="7">
        <f ca="1">SUM(OFFSET($A$73,9,1,1,12))</f>
        <v>2.8759776999999995</v>
      </c>
    </row>
    <row r="83" spans="1:17" x14ac:dyDescent="0.2">
      <c r="A83" s="7">
        <v>9</v>
      </c>
      <c r="B83" s="7">
        <v>1.05982E-2</v>
      </c>
      <c r="C83" s="7">
        <v>0.12640319999999999</v>
      </c>
      <c r="D83" s="7">
        <v>9.08191E-2</v>
      </c>
      <c r="E83" s="7">
        <v>10.452220000000001</v>
      </c>
      <c r="F83" s="7">
        <v>18.254110000000001</v>
      </c>
      <c r="G83" s="7">
        <v>7.7813150000000002</v>
      </c>
      <c r="H83" s="7">
        <v>11.24935</v>
      </c>
      <c r="I83" s="7">
        <v>1.202145</v>
      </c>
      <c r="J83" s="7">
        <v>105.7842</v>
      </c>
      <c r="K83" s="7">
        <v>0.35184890000000002</v>
      </c>
      <c r="L83" s="7">
        <v>0.1825484</v>
      </c>
      <c r="M83" s="7">
        <v>0.2452667</v>
      </c>
      <c r="N83" s="7">
        <v>0</v>
      </c>
      <c r="O83" s="7">
        <v>1.1412E-3</v>
      </c>
      <c r="P83" s="7">
        <f ca="1">SUM(OFFSET($A$73,10,1,1,14))</f>
        <v>155.73196570000002</v>
      </c>
      <c r="Q83" s="7">
        <f ca="1">SUM(OFFSET($A$73,10,1,1,12))</f>
        <v>155.73082450000001</v>
      </c>
    </row>
    <row r="84" spans="1:17" x14ac:dyDescent="0.2">
      <c r="A84" s="7">
        <v>10</v>
      </c>
      <c r="B84" s="7">
        <v>4.4299999999999999E-5</v>
      </c>
      <c r="C84" s="7">
        <v>2.7080000000000002E-4</v>
      </c>
      <c r="D84" s="7">
        <v>4.7364E-3</v>
      </c>
      <c r="E84" s="7">
        <v>0.25992120000000002</v>
      </c>
      <c r="F84" s="7">
        <v>0.37647170000000002</v>
      </c>
      <c r="G84" s="7">
        <v>5.7718999999999999E-2</v>
      </c>
      <c r="H84" s="7">
        <v>1.1569320000000001</v>
      </c>
      <c r="I84" s="7">
        <v>3.09041E-2</v>
      </c>
      <c r="J84" s="7">
        <v>0.36134230000000001</v>
      </c>
      <c r="K84" s="7">
        <v>0</v>
      </c>
      <c r="L84" s="7">
        <v>5.2170000000000005E-4</v>
      </c>
      <c r="M84" s="7">
        <v>0</v>
      </c>
      <c r="N84" s="7">
        <v>0</v>
      </c>
      <c r="O84" s="7">
        <v>0</v>
      </c>
      <c r="P84" s="7">
        <f ca="1">SUM(OFFSET($A$73,11,1,1,14))</f>
        <v>2.2488635000000006</v>
      </c>
      <c r="Q84" s="7">
        <f ca="1">SUM(OFFSET($A$73,11,1,1,12))</f>
        <v>2.2488635000000006</v>
      </c>
    </row>
    <row r="85" spans="1:17" x14ac:dyDescent="0.2">
      <c r="A85" s="7">
        <v>11</v>
      </c>
      <c r="B85" s="7">
        <v>4.8030000000000002E-4</v>
      </c>
      <c r="C85" s="7">
        <v>1.86949E-2</v>
      </c>
      <c r="D85" s="7">
        <v>1.0304499999999999E-2</v>
      </c>
      <c r="E85" s="7">
        <v>0.25012289999999998</v>
      </c>
      <c r="F85" s="7">
        <v>2.0606659999999999</v>
      </c>
      <c r="G85" s="7">
        <v>2.0962369999999999</v>
      </c>
      <c r="H85" s="7">
        <v>4.8621600000000001E-2</v>
      </c>
      <c r="I85" s="7">
        <v>4.3669999999999999E-4</v>
      </c>
      <c r="J85" s="7">
        <v>0.20980080000000001</v>
      </c>
      <c r="K85" s="7">
        <v>9.9010000000000005E-4</v>
      </c>
      <c r="L85" s="7">
        <v>1.7139819999999999</v>
      </c>
      <c r="M85" s="7">
        <v>6.1646000000000001E-3</v>
      </c>
      <c r="N85" s="7">
        <v>0</v>
      </c>
      <c r="O85" s="7">
        <v>0</v>
      </c>
      <c r="P85" s="7">
        <f ca="1">SUM(OFFSET($A$73,12,1,1,14))</f>
        <v>6.4165013999999996</v>
      </c>
      <c r="Q85" s="7">
        <f ca="1">SUM(OFFSET($A$73,12,1,1,12))</f>
        <v>6.4165013999999996</v>
      </c>
    </row>
    <row r="86" spans="1:17" x14ac:dyDescent="0.2">
      <c r="A86" s="7">
        <v>12</v>
      </c>
      <c r="B86" s="7">
        <v>5.5699999999999999E-5</v>
      </c>
      <c r="C86" s="7">
        <v>2.0184000000000001E-3</v>
      </c>
      <c r="D86" s="7">
        <v>1.1406999999999999E-3</v>
      </c>
      <c r="E86" s="7">
        <v>1.4546699999999999E-2</v>
      </c>
      <c r="F86" s="7">
        <v>0.3582862</v>
      </c>
      <c r="G86" s="7">
        <v>0.71885710000000003</v>
      </c>
      <c r="H86" s="7">
        <v>9.7580100000000003E-2</v>
      </c>
      <c r="I86" s="7">
        <v>3.9328299999999997E-2</v>
      </c>
      <c r="J86" s="7">
        <v>0.18734120000000001</v>
      </c>
      <c r="K86" s="7">
        <v>0</v>
      </c>
      <c r="L86" s="7">
        <v>3.1600000000000002E-5</v>
      </c>
      <c r="M86" s="7">
        <v>0</v>
      </c>
      <c r="N86" s="7">
        <v>0</v>
      </c>
      <c r="O86" s="7">
        <v>0</v>
      </c>
      <c r="P86" s="7">
        <f ca="1">SUM(OFFSET($A$73,13,1,1,14))</f>
        <v>1.4191860000000003</v>
      </c>
      <c r="Q86" s="7">
        <f ca="1">SUM(OFFSET($A$73,13,1,1,12))</f>
        <v>1.4191860000000003</v>
      </c>
    </row>
    <row r="87" spans="1:17" x14ac:dyDescent="0.2">
      <c r="A87" s="7">
        <v>13</v>
      </c>
      <c r="B87" s="7">
        <v>0</v>
      </c>
      <c r="C87" s="7">
        <v>3.9999999999999998E-7</v>
      </c>
      <c r="D87" s="7">
        <v>4.9999999999999998E-7</v>
      </c>
      <c r="E87" s="7">
        <v>1.17E-5</v>
      </c>
      <c r="F87" s="7">
        <v>1.3420000000000001E-4</v>
      </c>
      <c r="G87" s="7">
        <v>4.0588000000000004E-3</v>
      </c>
      <c r="H87" s="7">
        <v>9.9999999999999995E-7</v>
      </c>
      <c r="I87" s="7">
        <v>1.9999999999999999E-7</v>
      </c>
      <c r="J87" s="7">
        <v>5.4480000000000002E-4</v>
      </c>
      <c r="K87" s="7">
        <v>0</v>
      </c>
      <c r="L87" s="7">
        <v>9.2729199999999998E-2</v>
      </c>
      <c r="M87" s="7">
        <v>3.3543000000000002E-3</v>
      </c>
      <c r="N87" s="7">
        <v>0</v>
      </c>
      <c r="O87" s="7">
        <v>0</v>
      </c>
      <c r="P87" s="7">
        <f ca="1">SUM(OFFSET($A$73,14,1,1,14))</f>
        <v>0.1008351</v>
      </c>
      <c r="Q87" s="7">
        <f ca="1">SUM(OFFSET($A$73,14,1,1,12))</f>
        <v>0.1008351</v>
      </c>
    </row>
    <row r="88" spans="1:17" x14ac:dyDescent="0.2">
      <c r="A88" s="7">
        <v>14</v>
      </c>
      <c r="B88" s="7">
        <v>0</v>
      </c>
      <c r="C88" s="7">
        <v>2.9999999999999999E-7</v>
      </c>
      <c r="D88" s="7">
        <v>6.9999999999999997E-7</v>
      </c>
      <c r="E88" s="7">
        <v>1.33E-5</v>
      </c>
      <c r="F88" s="7">
        <v>8.6399999999999999E-5</v>
      </c>
      <c r="G88" s="7">
        <v>1.0555E-3</v>
      </c>
      <c r="H88" s="7">
        <v>1.3E-6</v>
      </c>
      <c r="I88" s="7">
        <v>0</v>
      </c>
      <c r="J88" s="7">
        <v>6.2564999999999999E-3</v>
      </c>
      <c r="K88" s="7">
        <v>0</v>
      </c>
      <c r="L88" s="7">
        <v>5.8975899999999998E-2</v>
      </c>
      <c r="M88" s="7">
        <v>4.0571799999999998E-2</v>
      </c>
      <c r="N88" s="7">
        <v>0</v>
      </c>
      <c r="O88" s="7">
        <v>0</v>
      </c>
      <c r="P88" s="7">
        <f ca="1">SUM(OFFSET($A$73,15,1,1,14))</f>
        <v>0.10696169999999999</v>
      </c>
      <c r="Q88" s="7">
        <f ca="1">SUM(OFFSET($A$73,15,1,1,12))</f>
        <v>0.10696169999999999</v>
      </c>
    </row>
    <row r="89" spans="1:17" x14ac:dyDescent="0.2">
      <c r="A89" s="7" t="s">
        <v>43</v>
      </c>
      <c r="B89" s="7">
        <f ca="1">SUM(OFFSET($A$73,2,1,14,1))</f>
        <v>9.4730771000000029</v>
      </c>
      <c r="C89" s="7">
        <f ca="1">SUM(OFFSET($A$73,2,2,14,1))</f>
        <v>58.085105299999995</v>
      </c>
      <c r="D89" s="7">
        <f ca="1">SUM(OFFSET($A$73,2,3,14,1))</f>
        <v>292.80375359999994</v>
      </c>
      <c r="E89" s="7">
        <f ca="1">SUM(OFFSET($A$73,2,4,14,1))</f>
        <v>1242.5453828</v>
      </c>
      <c r="F89" s="7">
        <f ca="1">SUM(OFFSET($A$73,2,5,14,1))</f>
        <v>601.14778590000003</v>
      </c>
      <c r="G89" s="7">
        <f ca="1">SUM(OFFSET($A$73,2,6,14,1))</f>
        <v>97.67052910000001</v>
      </c>
      <c r="H89" s="7">
        <f ca="1">SUM(OFFSET($A$73,2,7,14,1))</f>
        <v>148.62099499999999</v>
      </c>
      <c r="I89" s="7">
        <f ca="1">SUM(OFFSET($A$73,2,8,14,1))</f>
        <v>5.0933688999999998</v>
      </c>
      <c r="J89" s="7">
        <f ca="1">SUM(OFFSET($A$73,2,9,14,1))</f>
        <v>157.9090751</v>
      </c>
      <c r="K89" s="7">
        <f ca="1">SUM(OFFSET($A$73,2,10,14,1))</f>
        <v>2.3890832</v>
      </c>
      <c r="L89" s="7">
        <f ca="1">SUM(OFFSET($A$73,2,11,14,1))</f>
        <v>5.4067235</v>
      </c>
      <c r="M89" s="7">
        <f ca="1">SUM(OFFSET($A$73,2,12,14,1))</f>
        <v>1.7093076</v>
      </c>
      <c r="N89" s="7">
        <f ca="1">SUM(OFFSET($A$73,2,13,14,1))</f>
        <v>0</v>
      </c>
      <c r="O89" s="7">
        <f ca="1">SUM(OFFSET($A$73,2,14,14,1))</f>
        <v>1.9992999999999999E-3</v>
      </c>
      <c r="P89" s="7">
        <f ca="1">SUM(OFFSET($A$73,16,1,1,14))</f>
        <v>2622.8561864000003</v>
      </c>
      <c r="Q89" s="7">
        <f ca="1">SUM(OFFSET($A$73,16,1,1,12))</f>
        <v>2622.8541871000002</v>
      </c>
    </row>
    <row r="90" spans="1:17" x14ac:dyDescent="0.2">
      <c r="O90" s="12" t="s">
        <v>59</v>
      </c>
      <c r="P90" s="7">
        <f ca="1">SUM(OFFSET($B$75,0,0,12,12))</f>
        <v>2622.6463903000008</v>
      </c>
    </row>
    <row r="91" spans="1:17" x14ac:dyDescent="0.2">
      <c r="A91" s="7" t="s">
        <v>97</v>
      </c>
    </row>
    <row r="92" spans="1:17" x14ac:dyDescent="0.2">
      <c r="B92" s="7">
        <v>1</v>
      </c>
      <c r="C92" s="7">
        <v>2</v>
      </c>
      <c r="D92" s="7">
        <v>3</v>
      </c>
      <c r="E92" s="7">
        <v>4</v>
      </c>
      <c r="F92" s="7">
        <v>5</v>
      </c>
      <c r="G92" s="7">
        <v>6</v>
      </c>
      <c r="H92" s="7">
        <v>7</v>
      </c>
      <c r="I92" s="7">
        <v>8</v>
      </c>
      <c r="J92" s="7">
        <v>9</v>
      </c>
      <c r="K92" s="7">
        <v>10</v>
      </c>
      <c r="L92" s="7">
        <v>11</v>
      </c>
      <c r="M92" s="7">
        <v>12</v>
      </c>
      <c r="N92" s="7">
        <v>13</v>
      </c>
      <c r="O92" s="7">
        <v>14</v>
      </c>
      <c r="P92" s="7" t="s">
        <v>43</v>
      </c>
      <c r="Q92" s="7" t="s">
        <v>61</v>
      </c>
    </row>
    <row r="93" spans="1:17" x14ac:dyDescent="0.2">
      <c r="A93" s="7">
        <v>1</v>
      </c>
      <c r="B93" s="7">
        <v>1079.646</v>
      </c>
      <c r="C93" s="7">
        <v>32.684220000000003</v>
      </c>
      <c r="D93" s="7">
        <v>0.70820810000000001</v>
      </c>
      <c r="E93" s="7">
        <v>6.8357000000000001E-3</v>
      </c>
      <c r="F93" s="7">
        <v>8.0659999999999998E-4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f ca="1">SUM(OFFSET($A$91,2,1,1,14))</f>
        <v>1113.0460704000002</v>
      </c>
      <c r="Q93" s="7">
        <f ca="1">SUM(OFFSET($A$91,2,1,1,12))</f>
        <v>1113.0460704000002</v>
      </c>
    </row>
    <row r="94" spans="1:17" x14ac:dyDescent="0.2">
      <c r="A94" s="7">
        <v>2</v>
      </c>
      <c r="B94" s="7">
        <v>44.441119999999998</v>
      </c>
      <c r="C94" s="7">
        <v>4218.384</v>
      </c>
      <c r="D94" s="7">
        <v>0.94032800000000005</v>
      </c>
      <c r="E94" s="7">
        <v>0.73410169999999997</v>
      </c>
      <c r="F94" s="7">
        <v>1.2039359999999999</v>
      </c>
      <c r="G94" s="7">
        <v>5.0699999999999999E-5</v>
      </c>
      <c r="H94" s="7">
        <v>2.6000000000000001E-6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f ca="1">SUM(OFFSET($A$91,3,1,1,14))</f>
        <v>4265.7035390000001</v>
      </c>
      <c r="Q94" s="7">
        <f ca="1">SUM(OFFSET($A$91,3,1,1,12))</f>
        <v>4265.7035390000001</v>
      </c>
    </row>
    <row r="95" spans="1:17" x14ac:dyDescent="0.2">
      <c r="A95" s="7">
        <v>3</v>
      </c>
      <c r="B95" s="7">
        <v>1.3642620000000001</v>
      </c>
      <c r="C95" s="7">
        <v>1.6281859999999999</v>
      </c>
      <c r="D95" s="7">
        <v>1391.38</v>
      </c>
      <c r="E95" s="7">
        <v>54.242699999999999</v>
      </c>
      <c r="F95" s="7">
        <v>0.59498910000000005</v>
      </c>
      <c r="G95" s="7">
        <v>0</v>
      </c>
      <c r="H95" s="7">
        <v>2.8122899999999999E-2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f ca="1">SUM(OFFSET($A$91,4,1,1,14))</f>
        <v>1449.2382600000001</v>
      </c>
      <c r="Q95" s="7">
        <f ca="1">SUM(OFFSET($A$91,4,1,1,12))</f>
        <v>1449.2382600000001</v>
      </c>
    </row>
    <row r="96" spans="1:17" x14ac:dyDescent="0.2">
      <c r="A96" s="7">
        <v>4</v>
      </c>
      <c r="B96" s="7">
        <v>1.2170200000000001E-2</v>
      </c>
      <c r="C96" s="7">
        <v>0.73803129999999995</v>
      </c>
      <c r="D96" s="7">
        <v>58.82544</v>
      </c>
      <c r="E96" s="7">
        <v>16595.72</v>
      </c>
      <c r="F96" s="7">
        <v>32.806179999999998</v>
      </c>
      <c r="G96" s="7">
        <v>2.2309999999999999E-3</v>
      </c>
      <c r="H96" s="7">
        <v>2.8809239999999998</v>
      </c>
      <c r="I96" s="7">
        <v>4.0299999999999997E-5</v>
      </c>
      <c r="J96" s="7">
        <v>1.972E-4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f ca="1">SUM(OFFSET($A$91,5,1,1,14))</f>
        <v>16690.985214</v>
      </c>
      <c r="Q96" s="7">
        <f ca="1">SUM(OFFSET($A$91,5,1,1,12))</f>
        <v>16690.985214</v>
      </c>
    </row>
    <row r="97" spans="1:17" x14ac:dyDescent="0.2">
      <c r="A97" s="7">
        <v>5</v>
      </c>
      <c r="B97" s="7">
        <v>6.8249999999999995E-4</v>
      </c>
      <c r="C97" s="7">
        <v>1.0746020000000001</v>
      </c>
      <c r="D97" s="7">
        <v>0.38505800000000001</v>
      </c>
      <c r="E97" s="7">
        <v>26.788589999999999</v>
      </c>
      <c r="F97" s="7">
        <v>4958.5969999999998</v>
      </c>
      <c r="G97" s="7">
        <v>63.293959999999998</v>
      </c>
      <c r="H97" s="7">
        <v>15.93487</v>
      </c>
      <c r="I97" s="7">
        <v>0.49369980000000002</v>
      </c>
      <c r="J97" s="7">
        <v>3.563609</v>
      </c>
      <c r="K97" s="7">
        <v>0</v>
      </c>
      <c r="L97" s="7">
        <v>1.5E-5</v>
      </c>
      <c r="M97" s="7">
        <v>0</v>
      </c>
      <c r="N97" s="7">
        <v>0</v>
      </c>
      <c r="O97" s="7">
        <v>0</v>
      </c>
      <c r="P97" s="7">
        <f ca="1">SUM(OFFSET($A$91,6,1,1,14))</f>
        <v>5070.1320862999992</v>
      </c>
      <c r="Q97" s="7">
        <f ca="1">SUM(OFFSET($A$91,6,1,1,12))</f>
        <v>5070.1320862999992</v>
      </c>
    </row>
    <row r="98" spans="1:17" x14ac:dyDescent="0.2">
      <c r="A98" s="7">
        <v>6</v>
      </c>
      <c r="B98" s="7">
        <v>0</v>
      </c>
      <c r="C98" s="7">
        <v>5.4200000000000003E-5</v>
      </c>
      <c r="D98" s="7">
        <v>0</v>
      </c>
      <c r="E98" s="7">
        <v>1.8044000000000001E-3</v>
      </c>
      <c r="F98" s="7">
        <v>73.022880000000001</v>
      </c>
      <c r="G98" s="7">
        <v>4410.7629999999999</v>
      </c>
      <c r="H98" s="7">
        <v>2.4951999999999999E-3</v>
      </c>
      <c r="I98" s="7">
        <v>4.0899999999999998E-5</v>
      </c>
      <c r="J98" s="7">
        <v>0.2504924</v>
      </c>
      <c r="K98" s="7">
        <v>0</v>
      </c>
      <c r="L98" s="7">
        <v>0.2031811</v>
      </c>
      <c r="M98" s="7">
        <v>1.0900000000000001E-4</v>
      </c>
      <c r="N98" s="7">
        <v>0</v>
      </c>
      <c r="O98" s="7">
        <v>0</v>
      </c>
      <c r="P98" s="7">
        <f ca="1">SUM(OFFSET($A$91,7,1,1,14))</f>
        <v>4484.2440572000005</v>
      </c>
      <c r="Q98" s="7">
        <f ca="1">SUM(OFFSET($A$91,7,1,1,12))</f>
        <v>4484.2440572000005</v>
      </c>
    </row>
    <row r="99" spans="1:17" x14ac:dyDescent="0.2">
      <c r="A99" s="7">
        <v>7</v>
      </c>
      <c r="B99" s="7">
        <v>0</v>
      </c>
      <c r="C99" s="7">
        <v>2.9999999999999999E-7</v>
      </c>
      <c r="D99" s="7">
        <v>1.6728400000000001E-2</v>
      </c>
      <c r="E99" s="7">
        <v>2.3990860000000001</v>
      </c>
      <c r="F99" s="7">
        <v>16.140499999999999</v>
      </c>
      <c r="G99" s="7">
        <v>2.2948000000000001E-3</v>
      </c>
      <c r="H99" s="7">
        <v>3649.886</v>
      </c>
      <c r="I99" s="7">
        <v>0.37245040000000001</v>
      </c>
      <c r="J99" s="7">
        <v>0.15034020000000001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f ca="1">SUM(OFFSET($A$91,8,1,1,14))</f>
        <v>3668.9674000999998</v>
      </c>
      <c r="Q99" s="7">
        <f ca="1">SUM(OFFSET($A$91,8,1,1,12))</f>
        <v>3668.9674000999998</v>
      </c>
    </row>
    <row r="100" spans="1:17" x14ac:dyDescent="0.2">
      <c r="A100" s="7">
        <v>8</v>
      </c>
      <c r="B100" s="7">
        <v>0</v>
      </c>
      <c r="C100" s="7">
        <v>0</v>
      </c>
      <c r="D100" s="7">
        <v>0</v>
      </c>
      <c r="E100" s="7">
        <v>1.2E-5</v>
      </c>
      <c r="F100" s="7">
        <v>0.50698860000000001</v>
      </c>
      <c r="G100" s="7">
        <v>4.6100000000000002E-5</v>
      </c>
      <c r="H100" s="7">
        <v>0.1731771</v>
      </c>
      <c r="I100" s="7">
        <v>1175.528</v>
      </c>
      <c r="J100" s="7">
        <v>1.2587379999999999</v>
      </c>
      <c r="K100" s="7">
        <v>6.7920000000000003E-4</v>
      </c>
      <c r="L100" s="7">
        <v>0</v>
      </c>
      <c r="M100" s="7">
        <v>0</v>
      </c>
      <c r="N100" s="7">
        <v>0</v>
      </c>
      <c r="O100" s="7">
        <v>0</v>
      </c>
      <c r="P100" s="7">
        <f ca="1">SUM(OFFSET($A$91,9,1,1,14))</f>
        <v>1177.467641</v>
      </c>
      <c r="Q100" s="7">
        <f ca="1">SUM(OFFSET($A$91,9,1,1,12))</f>
        <v>1177.467641</v>
      </c>
    </row>
    <row r="101" spans="1:17" x14ac:dyDescent="0.2">
      <c r="A101" s="7">
        <v>9</v>
      </c>
      <c r="B101" s="7">
        <v>0</v>
      </c>
      <c r="C101" s="7">
        <v>0</v>
      </c>
      <c r="D101" s="7">
        <v>0</v>
      </c>
      <c r="E101" s="7">
        <v>8.6199999999999995E-5</v>
      </c>
      <c r="F101" s="7">
        <v>3.1830289999999999</v>
      </c>
      <c r="G101" s="7">
        <v>0.28283170000000002</v>
      </c>
      <c r="H101" s="7">
        <v>0.28702559999999999</v>
      </c>
      <c r="I101" s="7">
        <v>1.7880259999999999</v>
      </c>
      <c r="J101" s="7">
        <v>8530.2939999999999</v>
      </c>
      <c r="K101" s="7">
        <v>5.2777500000000002</v>
      </c>
      <c r="L101" s="7">
        <v>1.40471E-2</v>
      </c>
      <c r="M101" s="7">
        <v>59.945180000000001</v>
      </c>
      <c r="N101" s="7">
        <v>0</v>
      </c>
      <c r="O101" s="7">
        <v>0</v>
      </c>
      <c r="P101" s="7">
        <f ca="1">SUM(OFFSET($A$91,10,1,1,14))</f>
        <v>8601.0719755999999</v>
      </c>
      <c r="Q101" s="7">
        <f ca="1">SUM(OFFSET($A$91,10,1,1,12))</f>
        <v>8601.0719755999999</v>
      </c>
    </row>
    <row r="102" spans="1:17" x14ac:dyDescent="0.2">
      <c r="A102" s="7">
        <v>10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4.6129999999999999E-4</v>
      </c>
      <c r="J102" s="7">
        <v>4.9309149999999997</v>
      </c>
      <c r="K102" s="7">
        <v>2079.0419999999999</v>
      </c>
      <c r="L102" s="7">
        <v>0</v>
      </c>
      <c r="M102" s="7">
        <v>1.2822880000000001</v>
      </c>
      <c r="N102" s="7">
        <v>0</v>
      </c>
      <c r="O102" s="7">
        <v>0</v>
      </c>
      <c r="P102" s="7">
        <f ca="1">SUM(OFFSET($A$91,11,1,1,14))</f>
        <v>2085.2556642999998</v>
      </c>
      <c r="Q102" s="7">
        <f ca="1">SUM(OFFSET($A$91,11,1,1,12))</f>
        <v>2085.2556642999998</v>
      </c>
    </row>
    <row r="103" spans="1:17" x14ac:dyDescent="0.2">
      <c r="A103" s="7">
        <v>11</v>
      </c>
      <c r="B103" s="7">
        <v>0</v>
      </c>
      <c r="C103" s="7">
        <v>0</v>
      </c>
      <c r="D103" s="7">
        <v>0</v>
      </c>
      <c r="E103" s="7">
        <v>0</v>
      </c>
      <c r="F103" s="7">
        <v>9.2E-6</v>
      </c>
      <c r="G103" s="7">
        <v>0.1940945</v>
      </c>
      <c r="H103" s="7">
        <v>0</v>
      </c>
      <c r="I103" s="7">
        <v>0</v>
      </c>
      <c r="J103" s="7">
        <v>1.9006700000000001E-2</v>
      </c>
      <c r="K103" s="7">
        <v>0</v>
      </c>
      <c r="L103" s="7">
        <v>2212.4409999999998</v>
      </c>
      <c r="M103" s="7">
        <v>0.16359209999999999</v>
      </c>
      <c r="N103" s="7">
        <v>0.3158802</v>
      </c>
      <c r="O103" s="7">
        <v>0</v>
      </c>
      <c r="P103" s="7">
        <f ca="1">SUM(OFFSET($A$91,12,1,1,14))</f>
        <v>2213.1335826999998</v>
      </c>
      <c r="Q103" s="7">
        <f ca="1">SUM(OFFSET($A$91,12,1,1,12))</f>
        <v>2212.8177025</v>
      </c>
    </row>
    <row r="104" spans="1:17" x14ac:dyDescent="0.2">
      <c r="A104" s="7">
        <v>12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1.175E-4</v>
      </c>
      <c r="H104" s="7">
        <v>0</v>
      </c>
      <c r="I104" s="7">
        <v>0</v>
      </c>
      <c r="J104" s="7">
        <v>58.213459999999998</v>
      </c>
      <c r="K104" s="7">
        <v>1.3845320000000001</v>
      </c>
      <c r="L104" s="7">
        <v>0.2072679</v>
      </c>
      <c r="M104" s="7">
        <v>3061.9229999999998</v>
      </c>
      <c r="N104" s="7">
        <v>0</v>
      </c>
      <c r="O104" s="7">
        <v>1.0726899999999999</v>
      </c>
      <c r="P104" s="7">
        <f ca="1">SUM(OFFSET($A$91,13,1,1,14))</f>
        <v>3122.8010673999997</v>
      </c>
      <c r="Q104" s="7">
        <f ca="1">SUM(OFFSET($A$91,13,1,1,12))</f>
        <v>3121.7283773999998</v>
      </c>
    </row>
    <row r="105" spans="1:17" x14ac:dyDescent="0.2">
      <c r="A105" s="7">
        <v>13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0.3161813</v>
      </c>
      <c r="M105" s="7">
        <v>0</v>
      </c>
      <c r="N105" s="7">
        <v>946.0806</v>
      </c>
      <c r="O105" s="7">
        <v>0.60545499999999997</v>
      </c>
      <c r="P105" s="7">
        <f ca="1">SUM(OFFSET($A$91,14,1,1,14))</f>
        <v>947.00223630000005</v>
      </c>
      <c r="Q105" s="7">
        <f ca="1">SUM(OFFSET($A$91,14,1,1,12))</f>
        <v>0.3161813</v>
      </c>
    </row>
    <row r="106" spans="1:17" x14ac:dyDescent="0.2">
      <c r="A106" s="7">
        <v>14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1.093677</v>
      </c>
      <c r="N106" s="7">
        <v>0.6969573</v>
      </c>
      <c r="O106" s="7">
        <v>4388.0789999999997</v>
      </c>
      <c r="P106" s="7">
        <f ca="1">SUM(OFFSET($A$91,15,1,1,14))</f>
        <v>4389.8696343000001</v>
      </c>
      <c r="Q106" s="7">
        <f ca="1">SUM(OFFSET($A$91,15,1,1,12))</f>
        <v>1.093677</v>
      </c>
    </row>
    <row r="107" spans="1:17" x14ac:dyDescent="0.2">
      <c r="A107" s="7" t="s">
        <v>43</v>
      </c>
      <c r="B107" s="7">
        <f ca="1">SUM(OFFSET($A$91,2,1,14,1))</f>
        <v>1125.4642346999999</v>
      </c>
      <c r="C107" s="7">
        <f ca="1">SUM(OFFSET($A$91,2,2,14,1))</f>
        <v>4254.5090937999994</v>
      </c>
      <c r="D107" s="7">
        <f ca="1">SUM(OFFSET($A$91,2,3,14,1))</f>
        <v>1452.2557625000002</v>
      </c>
      <c r="E107" s="7">
        <f ca="1">SUM(OFFSET($A$91,2,4,14,1))</f>
        <v>16679.893216000004</v>
      </c>
      <c r="F107" s="7">
        <f ca="1">SUM(OFFSET($A$91,2,5,14,1))</f>
        <v>5086.056318500001</v>
      </c>
      <c r="G107" s="7">
        <f ca="1">SUM(OFFSET($A$91,2,6,14,1))</f>
        <v>4474.5386262999991</v>
      </c>
      <c r="H107" s="7">
        <f ca="1">SUM(OFFSET($A$91,2,7,14,1))</f>
        <v>3669.1926174</v>
      </c>
      <c r="I107" s="7">
        <f ca="1">SUM(OFFSET($A$91,2,8,14,1))</f>
        <v>1178.1827187000001</v>
      </c>
      <c r="J107" s="7">
        <f ca="1">SUM(OFFSET($A$91,2,9,14,1))</f>
        <v>8598.6807585000024</v>
      </c>
      <c r="K107" s="7">
        <f ca="1">SUM(OFFSET($A$91,2,10,14,1))</f>
        <v>2085.7049612000001</v>
      </c>
      <c r="L107" s="7">
        <f ca="1">SUM(OFFSET($A$91,2,11,14,1))</f>
        <v>2213.1816924</v>
      </c>
      <c r="M107" s="7">
        <f ca="1">SUM(OFFSET($A$91,2,12,14,1))</f>
        <v>3124.4078460999995</v>
      </c>
      <c r="N107" s="7">
        <f ca="1">SUM(OFFSET($A$91,2,13,14,1))</f>
        <v>947.09343750000005</v>
      </c>
      <c r="O107" s="7">
        <f ca="1">SUM(OFFSET($A$91,2,14,14,1))</f>
        <v>4389.7571449999996</v>
      </c>
      <c r="P107" s="7">
        <f ca="1">SUM(OFFSET($A$91,16,1,1,14))</f>
        <v>59278.918428600009</v>
      </c>
      <c r="Q107" s="7">
        <f ca="1">SUM(OFFSET($A$91,16,1,1,12))</f>
        <v>53942.067846100006</v>
      </c>
    </row>
    <row r="108" spans="1:17" x14ac:dyDescent="0.2">
      <c r="O108" s="12" t="s">
        <v>59</v>
      </c>
      <c r="P108" s="7">
        <f ca="1">SUM(OFFSET($B$93,0,0,12,12))</f>
        <v>53940.65798779999</v>
      </c>
    </row>
    <row r="109" spans="1:17" x14ac:dyDescent="0.2">
      <c r="A109" s="7" t="s">
        <v>99</v>
      </c>
    </row>
    <row r="110" spans="1:17" x14ac:dyDescent="0.2">
      <c r="B110" s="7">
        <v>1</v>
      </c>
      <c r="C110" s="7">
        <v>2</v>
      </c>
      <c r="D110" s="7">
        <v>3</v>
      </c>
      <c r="E110" s="7">
        <v>4</v>
      </c>
      <c r="F110" s="7">
        <v>5</v>
      </c>
      <c r="G110" s="7">
        <v>6</v>
      </c>
      <c r="H110" s="7">
        <v>7</v>
      </c>
      <c r="I110" s="7">
        <v>8</v>
      </c>
      <c r="J110" s="7">
        <v>9</v>
      </c>
      <c r="K110" s="7">
        <v>10</v>
      </c>
      <c r="L110" s="7">
        <v>11</v>
      </c>
      <c r="M110" s="7">
        <v>12</v>
      </c>
      <c r="N110" s="7">
        <v>13</v>
      </c>
      <c r="O110" s="7">
        <v>14</v>
      </c>
      <c r="P110" s="7" t="s">
        <v>43</v>
      </c>
      <c r="Q110" s="7" t="s">
        <v>61</v>
      </c>
    </row>
    <row r="111" spans="1:17" x14ac:dyDescent="0.2">
      <c r="A111" s="7">
        <v>1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f ca="1">SUM(OFFSET($A$109,2,1,1,14))</f>
        <v>0</v>
      </c>
      <c r="Q111" s="7">
        <f ca="1">SUM(OFFSET($A$109,2,1,1,12))</f>
        <v>0</v>
      </c>
    </row>
    <row r="112" spans="1:17" x14ac:dyDescent="0.2">
      <c r="A112" s="7">
        <v>2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f ca="1">SUM(OFFSET($A$109,3,1,1,14))</f>
        <v>0</v>
      </c>
      <c r="Q112" s="7">
        <f ca="1">SUM(OFFSET($A$109,3,1,1,12))</f>
        <v>0</v>
      </c>
    </row>
    <row r="113" spans="1:17" x14ac:dyDescent="0.2">
      <c r="A113" s="7">
        <v>3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f ca="1">SUM(OFFSET($A$109,4,1,1,14))</f>
        <v>0</v>
      </c>
      <c r="Q113" s="7">
        <f ca="1">SUM(OFFSET($A$109,4,1,1,12))</f>
        <v>0</v>
      </c>
    </row>
    <row r="114" spans="1:17" x14ac:dyDescent="0.2">
      <c r="A114" s="7">
        <v>4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f ca="1">SUM(OFFSET($A$109,5,1,1,14))</f>
        <v>0</v>
      </c>
      <c r="Q114" s="7">
        <f ca="1">SUM(OFFSET($A$109,5,1,1,12))</f>
        <v>0</v>
      </c>
    </row>
    <row r="115" spans="1:17" x14ac:dyDescent="0.2">
      <c r="A115" s="7">
        <v>5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f ca="1">SUM(OFFSET($A$109,6,1,1,14))</f>
        <v>0</v>
      </c>
      <c r="Q115" s="7">
        <f ca="1">SUM(OFFSET($A$109,6,1,1,12))</f>
        <v>0</v>
      </c>
    </row>
    <row r="116" spans="1:17" x14ac:dyDescent="0.2">
      <c r="A116" s="7">
        <v>6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f ca="1">SUM(OFFSET($A$109,7,1,1,14))</f>
        <v>0</v>
      </c>
      <c r="Q116" s="7">
        <f ca="1">SUM(OFFSET($A$109,7,1,1,12))</f>
        <v>0</v>
      </c>
    </row>
    <row r="117" spans="1:17" x14ac:dyDescent="0.2">
      <c r="A117" s="7">
        <v>7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f ca="1">SUM(OFFSET($A$109,8,1,1,14))</f>
        <v>0</v>
      </c>
      <c r="Q117" s="7">
        <f ca="1">SUM(OFFSET($A$109,8,1,1,12))</f>
        <v>0</v>
      </c>
    </row>
    <row r="118" spans="1:17" x14ac:dyDescent="0.2">
      <c r="A118" s="7">
        <v>8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f ca="1">SUM(OFFSET($A$109,9,1,1,14))</f>
        <v>0</v>
      </c>
      <c r="Q118" s="7">
        <f ca="1">SUM(OFFSET($A$109,9,1,1,12))</f>
        <v>0</v>
      </c>
    </row>
    <row r="119" spans="1:17" x14ac:dyDescent="0.2">
      <c r="A119" s="7">
        <v>9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f ca="1">SUM(OFFSET($A$109,10,1,1,14))</f>
        <v>0</v>
      </c>
      <c r="Q119" s="7">
        <f ca="1">SUM(OFFSET($A$109,10,1,1,12))</f>
        <v>0</v>
      </c>
    </row>
    <row r="120" spans="1:17" x14ac:dyDescent="0.2">
      <c r="A120" s="7">
        <v>10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f ca="1">SUM(OFFSET($A$109,11,1,1,14))</f>
        <v>0</v>
      </c>
      <c r="Q120" s="7">
        <f ca="1">SUM(OFFSET($A$109,11,1,1,12))</f>
        <v>0</v>
      </c>
    </row>
    <row r="121" spans="1:17" x14ac:dyDescent="0.2">
      <c r="A121" s="7">
        <v>11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f ca="1">SUM(OFFSET($A$109,12,1,1,14))</f>
        <v>0</v>
      </c>
      <c r="Q121" s="7">
        <f ca="1">SUM(OFFSET($A$109,12,1,1,12))</f>
        <v>0</v>
      </c>
    </row>
    <row r="122" spans="1:17" x14ac:dyDescent="0.2">
      <c r="A122" s="7">
        <v>12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f ca="1">SUM(OFFSET($A$109,13,1,1,14))</f>
        <v>0</v>
      </c>
      <c r="Q122" s="7">
        <f ca="1">SUM(OFFSET($A$109,13,1,1,12))</f>
        <v>0</v>
      </c>
    </row>
    <row r="123" spans="1:17" x14ac:dyDescent="0.2">
      <c r="A123" s="7">
        <v>13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f ca="1">SUM(OFFSET($A$109,14,1,1,14))</f>
        <v>0</v>
      </c>
      <c r="Q123" s="7">
        <f ca="1">SUM(OFFSET($A$109,14,1,1,12))</f>
        <v>0</v>
      </c>
    </row>
    <row r="124" spans="1:17" x14ac:dyDescent="0.2">
      <c r="A124" s="7">
        <v>14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f ca="1">SUM(OFFSET($A$109,15,1,1,14))</f>
        <v>0</v>
      </c>
      <c r="Q124" s="7">
        <f ca="1">SUM(OFFSET($A$109,15,1,1,12))</f>
        <v>0</v>
      </c>
    </row>
    <row r="125" spans="1:17" x14ac:dyDescent="0.2">
      <c r="A125" s="7" t="s">
        <v>43</v>
      </c>
      <c r="B125" s="7">
        <f ca="1">SUM(OFFSET($A$109,2,1,14,1))</f>
        <v>0</v>
      </c>
      <c r="C125" s="7">
        <f ca="1">SUM(OFFSET($A$109,2,2,14,1))</f>
        <v>0</v>
      </c>
      <c r="D125" s="7">
        <f ca="1">SUM(OFFSET($A$109,2,3,14,1))</f>
        <v>0</v>
      </c>
      <c r="E125" s="7">
        <f ca="1">SUM(OFFSET($A$109,2,4,14,1))</f>
        <v>0</v>
      </c>
      <c r="F125" s="7">
        <f ca="1">SUM(OFFSET($A$109,2,5,14,1))</f>
        <v>0</v>
      </c>
      <c r="G125" s="7">
        <f ca="1">SUM(OFFSET($A$109,2,6,14,1))</f>
        <v>0</v>
      </c>
      <c r="H125" s="7">
        <f ca="1">SUM(OFFSET($A$109,2,7,14,1))</f>
        <v>0</v>
      </c>
      <c r="I125" s="7">
        <f ca="1">SUM(OFFSET($A$109,2,8,14,1))</f>
        <v>0</v>
      </c>
      <c r="J125" s="7">
        <f ca="1">SUM(OFFSET($A$109,2,9,14,1))</f>
        <v>0</v>
      </c>
      <c r="K125" s="7">
        <f ca="1">SUM(OFFSET($A$109,2,10,14,1))</f>
        <v>0</v>
      </c>
      <c r="L125" s="7">
        <f ca="1">SUM(OFFSET($A$109,2,11,14,1))</f>
        <v>0</v>
      </c>
      <c r="M125" s="7">
        <f ca="1">SUM(OFFSET($A$109,2,12,14,1))</f>
        <v>0</v>
      </c>
      <c r="N125" s="7">
        <f ca="1">SUM(OFFSET($A$109,2,13,14,1))</f>
        <v>0</v>
      </c>
      <c r="O125" s="7">
        <f ca="1">SUM(OFFSET($A$109,2,14,14,1))</f>
        <v>0</v>
      </c>
      <c r="P125" s="7">
        <f ca="1">SUM(OFFSET($A$109,16,1,1,14))</f>
        <v>0</v>
      </c>
      <c r="Q125" s="7">
        <f ca="1">SUM(OFFSET($A$109,16,1,1,12))</f>
        <v>0</v>
      </c>
    </row>
    <row r="126" spans="1:17" x14ac:dyDescent="0.2">
      <c r="O126" s="12" t="s">
        <v>59</v>
      </c>
      <c r="P126" s="7">
        <f ca="1">SUM(OFFSET($B$111,0,0,12,12))</f>
        <v>0</v>
      </c>
    </row>
    <row r="127" spans="1:17" x14ac:dyDescent="0.2">
      <c r="A127" s="7" t="s">
        <v>101</v>
      </c>
    </row>
    <row r="128" spans="1:17" x14ac:dyDescent="0.2">
      <c r="B128" s="7">
        <v>1</v>
      </c>
      <c r="C128" s="7">
        <v>2</v>
      </c>
      <c r="D128" s="7">
        <v>3</v>
      </c>
      <c r="E128" s="7">
        <v>4</v>
      </c>
      <c r="F128" s="7">
        <v>5</v>
      </c>
      <c r="G128" s="7">
        <v>6</v>
      </c>
      <c r="H128" s="7">
        <v>7</v>
      </c>
      <c r="I128" s="7">
        <v>8</v>
      </c>
      <c r="J128" s="7">
        <v>9</v>
      </c>
      <c r="K128" s="7">
        <v>10</v>
      </c>
      <c r="L128" s="7">
        <v>11</v>
      </c>
      <c r="M128" s="7">
        <v>12</v>
      </c>
      <c r="N128" s="7">
        <v>13</v>
      </c>
      <c r="O128" s="7">
        <v>14</v>
      </c>
      <c r="P128" s="7" t="s">
        <v>43</v>
      </c>
      <c r="Q128" s="7" t="s">
        <v>61</v>
      </c>
    </row>
    <row r="129" spans="1:17" x14ac:dyDescent="0.2">
      <c r="A129" s="7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f ca="1">SUM(OFFSET($A$127,2,1,1,14))</f>
        <v>0</v>
      </c>
      <c r="Q129" s="7">
        <f ca="1">SUM(OFFSET($A$127,2,1,1,12))</f>
        <v>0</v>
      </c>
    </row>
    <row r="130" spans="1:17" x14ac:dyDescent="0.2">
      <c r="A130" s="7">
        <v>2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f ca="1">SUM(OFFSET($A$127,3,1,1,14))</f>
        <v>0</v>
      </c>
      <c r="Q130" s="7">
        <f ca="1">SUM(OFFSET($A$127,3,1,1,12))</f>
        <v>0</v>
      </c>
    </row>
    <row r="131" spans="1:17" x14ac:dyDescent="0.2">
      <c r="A131" s="7">
        <v>3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f ca="1">SUM(OFFSET($A$127,4,1,1,14))</f>
        <v>0</v>
      </c>
      <c r="Q131" s="7">
        <f ca="1">SUM(OFFSET($A$127,4,1,1,12))</f>
        <v>0</v>
      </c>
    </row>
    <row r="132" spans="1:17" x14ac:dyDescent="0.2">
      <c r="A132" s="7">
        <v>4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f ca="1">SUM(OFFSET($A$127,5,1,1,14))</f>
        <v>0</v>
      </c>
      <c r="Q132" s="7">
        <f ca="1">SUM(OFFSET($A$127,5,1,1,12))</f>
        <v>0</v>
      </c>
    </row>
    <row r="133" spans="1:17" x14ac:dyDescent="0.2">
      <c r="A133" s="7">
        <v>5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f ca="1">SUM(OFFSET($A$127,6,1,1,14))</f>
        <v>0</v>
      </c>
      <c r="Q133" s="7">
        <f ca="1">SUM(OFFSET($A$127,6,1,1,12))</f>
        <v>0</v>
      </c>
    </row>
    <row r="134" spans="1:17" x14ac:dyDescent="0.2">
      <c r="A134" s="7">
        <v>6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f ca="1">SUM(OFFSET($A$127,7,1,1,14))</f>
        <v>0</v>
      </c>
      <c r="Q134" s="7">
        <f ca="1">SUM(OFFSET($A$127,7,1,1,12))</f>
        <v>0</v>
      </c>
    </row>
    <row r="135" spans="1:17" x14ac:dyDescent="0.2">
      <c r="A135" s="7">
        <v>7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f ca="1">SUM(OFFSET($A$127,8,1,1,14))</f>
        <v>0</v>
      </c>
      <c r="Q135" s="7">
        <f ca="1">SUM(OFFSET($A$127,8,1,1,12))</f>
        <v>0</v>
      </c>
    </row>
    <row r="136" spans="1:17" x14ac:dyDescent="0.2">
      <c r="A136" s="7">
        <v>8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f ca="1">SUM(OFFSET($A$127,9,1,1,14))</f>
        <v>0</v>
      </c>
      <c r="Q136" s="7">
        <f ca="1">SUM(OFFSET($A$127,9,1,1,12))</f>
        <v>0</v>
      </c>
    </row>
    <row r="137" spans="1:17" x14ac:dyDescent="0.2">
      <c r="A137" s="7">
        <v>9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f ca="1">SUM(OFFSET($A$127,10,1,1,14))</f>
        <v>0</v>
      </c>
      <c r="Q137" s="7">
        <f ca="1">SUM(OFFSET($A$127,10,1,1,12))</f>
        <v>0</v>
      </c>
    </row>
    <row r="138" spans="1:17" x14ac:dyDescent="0.2">
      <c r="A138" s="7">
        <v>10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f ca="1">SUM(OFFSET($A$127,11,1,1,14))</f>
        <v>0</v>
      </c>
      <c r="Q138" s="7">
        <f ca="1">SUM(OFFSET($A$127,11,1,1,12))</f>
        <v>0</v>
      </c>
    </row>
    <row r="139" spans="1:17" x14ac:dyDescent="0.2">
      <c r="A139" s="7">
        <v>11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f ca="1">SUM(OFFSET($A$127,12,1,1,14))</f>
        <v>0</v>
      </c>
      <c r="Q139" s="7">
        <f ca="1">SUM(OFFSET($A$127,12,1,1,12))</f>
        <v>0</v>
      </c>
    </row>
    <row r="140" spans="1:17" x14ac:dyDescent="0.2">
      <c r="A140" s="7">
        <v>12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f ca="1">SUM(OFFSET($A$127,13,1,1,14))</f>
        <v>0</v>
      </c>
      <c r="Q140" s="7">
        <f ca="1">SUM(OFFSET($A$127,13,1,1,12))</f>
        <v>0</v>
      </c>
    </row>
    <row r="141" spans="1:17" x14ac:dyDescent="0.2">
      <c r="A141" s="7">
        <v>13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f ca="1">SUM(OFFSET($A$127,14,1,1,14))</f>
        <v>0</v>
      </c>
      <c r="Q141" s="7">
        <f ca="1">SUM(OFFSET($A$127,14,1,1,12))</f>
        <v>0</v>
      </c>
    </row>
    <row r="142" spans="1:17" x14ac:dyDescent="0.2">
      <c r="A142" s="7">
        <v>14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f ca="1">SUM(OFFSET($A$127,15,1,1,14))</f>
        <v>0</v>
      </c>
      <c r="Q142" s="7">
        <f ca="1">SUM(OFFSET($A$127,15,1,1,12))</f>
        <v>0</v>
      </c>
    </row>
    <row r="143" spans="1:17" x14ac:dyDescent="0.2">
      <c r="A143" s="7" t="s">
        <v>43</v>
      </c>
      <c r="B143" s="7">
        <f ca="1">SUM(OFFSET($A$127,2,1,14,1))</f>
        <v>0</v>
      </c>
      <c r="C143" s="7">
        <f ca="1">SUM(OFFSET($A$127,2,2,14,1))</f>
        <v>0</v>
      </c>
      <c r="D143" s="7">
        <f ca="1">SUM(OFFSET($A$127,2,3,14,1))</f>
        <v>0</v>
      </c>
      <c r="E143" s="7">
        <f ca="1">SUM(OFFSET($A$127,2,4,14,1))</f>
        <v>0</v>
      </c>
      <c r="F143" s="7">
        <f ca="1">SUM(OFFSET($A$127,2,5,14,1))</f>
        <v>0</v>
      </c>
      <c r="G143" s="7">
        <f ca="1">SUM(OFFSET($A$127,2,6,14,1))</f>
        <v>0</v>
      </c>
      <c r="H143" s="7">
        <f ca="1">SUM(OFFSET($A$127,2,7,14,1))</f>
        <v>0</v>
      </c>
      <c r="I143" s="7">
        <f ca="1">SUM(OFFSET($A$127,2,8,14,1))</f>
        <v>0</v>
      </c>
      <c r="J143" s="7">
        <f ca="1">SUM(OFFSET($A$127,2,9,14,1))</f>
        <v>0</v>
      </c>
      <c r="K143" s="7">
        <f ca="1">SUM(OFFSET($A$127,2,10,14,1))</f>
        <v>0</v>
      </c>
      <c r="L143" s="7">
        <f ca="1">SUM(OFFSET($A$127,2,11,14,1))</f>
        <v>0</v>
      </c>
      <c r="M143" s="7">
        <f ca="1">SUM(OFFSET($A$127,2,12,14,1))</f>
        <v>0</v>
      </c>
      <c r="N143" s="7">
        <f ca="1">SUM(OFFSET($A$127,2,13,14,1))</f>
        <v>0</v>
      </c>
      <c r="O143" s="7">
        <f ca="1">SUM(OFFSET($A$127,2,14,14,1))</f>
        <v>0</v>
      </c>
      <c r="P143" s="7">
        <f ca="1">SUM(OFFSET($A$127,16,1,1,14))</f>
        <v>0</v>
      </c>
      <c r="Q143" s="7">
        <f ca="1">SUM(OFFSET($A$127,16,1,1,12))</f>
        <v>0</v>
      </c>
    </row>
    <row r="144" spans="1:17" x14ac:dyDescent="0.2">
      <c r="O144" s="12" t="s">
        <v>59</v>
      </c>
      <c r="P144" s="7">
        <f ca="1">SUM(OFFSET($B$129,0,0,12,12))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15" width="6.28515625" style="7"/>
    <col min="16" max="17" width="7.7109375" style="7" customWidth="1"/>
    <col min="18" max="18" width="40.7109375" style="7" customWidth="1"/>
    <col min="19" max="16384" width="6.28515625" style="7"/>
  </cols>
  <sheetData>
    <row r="1" spans="1:20" x14ac:dyDescent="0.2">
      <c r="A1" s="7" t="s">
        <v>87</v>
      </c>
    </row>
    <row r="2" spans="1:20" x14ac:dyDescent="0.2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 t="s">
        <v>43</v>
      </c>
      <c r="Q2" s="7" t="s">
        <v>61</v>
      </c>
      <c r="R2" s="7" t="s">
        <v>86</v>
      </c>
      <c r="S2" s="7">
        <f ca="1">OFFSET(A1,16,15)</f>
        <v>276318.66451480001</v>
      </c>
      <c r="T2" s="7">
        <f ca="1">OFFSET(A1,17,15)</f>
        <v>239571.93434839995</v>
      </c>
    </row>
    <row r="3" spans="1:20" x14ac:dyDescent="0.2">
      <c r="A3" s="7">
        <v>1</v>
      </c>
      <c r="B3" s="7">
        <v>3605.7330000000002</v>
      </c>
      <c r="C3" s="7">
        <v>1496.7760000000001</v>
      </c>
      <c r="D3" s="7">
        <v>130.2568</v>
      </c>
      <c r="E3" s="7">
        <v>168.19229999999999</v>
      </c>
      <c r="F3" s="7">
        <v>56.974589999999999</v>
      </c>
      <c r="G3" s="7">
        <v>1.0424979999999999</v>
      </c>
      <c r="H3" s="7">
        <v>2.0949499999999999</v>
      </c>
      <c r="I3" s="7">
        <v>0.13800860000000001</v>
      </c>
      <c r="J3" s="7">
        <v>0.2038182</v>
      </c>
      <c r="K3" s="7">
        <v>3.9979999999999998E-3</v>
      </c>
      <c r="L3" s="7">
        <v>1.84297E-2</v>
      </c>
      <c r="M3" s="7">
        <v>3.8127999999999999E-3</v>
      </c>
      <c r="N3" s="7">
        <v>5.9599999999999999E-5</v>
      </c>
      <c r="O3" s="7">
        <v>2.5299999999999998E-5</v>
      </c>
      <c r="P3" s="7">
        <f ca="1">SUM(OFFSET($A$1,2,1,1,14))</f>
        <v>5461.4382901999979</v>
      </c>
      <c r="Q3" s="7">
        <f ca="1">SUM(OFFSET($A$1,2,1,1,12))</f>
        <v>5461.4382052999981</v>
      </c>
      <c r="R3" s="7" t="s">
        <v>88</v>
      </c>
      <c r="S3" s="7">
        <f ca="1">OFFSET(A1,34,15)</f>
        <v>213935.00726919997</v>
      </c>
      <c r="T3" s="7">
        <f ca="1">OFFSET(A1,35,15)</f>
        <v>182559.55657210003</v>
      </c>
    </row>
    <row r="4" spans="1:20" x14ac:dyDescent="0.2">
      <c r="A4" s="7">
        <v>2</v>
      </c>
      <c r="B4" s="7">
        <v>1488.5820000000001</v>
      </c>
      <c r="C4" s="7">
        <v>12909.28</v>
      </c>
      <c r="D4" s="7">
        <v>123.46429999999999</v>
      </c>
      <c r="E4" s="7">
        <v>452.39</v>
      </c>
      <c r="F4" s="7">
        <v>616.44140000000004</v>
      </c>
      <c r="G4" s="7">
        <v>19.758669999999999</v>
      </c>
      <c r="H4" s="7">
        <v>11.54912</v>
      </c>
      <c r="I4" s="7">
        <v>0.32181969999999999</v>
      </c>
      <c r="J4" s="7">
        <v>2.497007</v>
      </c>
      <c r="K4" s="7">
        <v>3.8957100000000001E-2</v>
      </c>
      <c r="L4" s="7">
        <v>0.21112629999999999</v>
      </c>
      <c r="M4" s="7">
        <v>9.5665200000000006E-2</v>
      </c>
      <c r="N4" s="7">
        <v>6.7610000000000001E-4</v>
      </c>
      <c r="O4" s="7">
        <v>3.1559999999999997E-4</v>
      </c>
      <c r="P4" s="7">
        <f ca="1">SUM(OFFSET($A$1,3,1,1,14))</f>
        <v>15624.631057000001</v>
      </c>
      <c r="Q4" s="7">
        <f ca="1">SUM(OFFSET($A$1,3,1,1,12))</f>
        <v>15624.6300653</v>
      </c>
      <c r="R4" s="7" t="s">
        <v>90</v>
      </c>
      <c r="S4" s="7">
        <f ca="1">OFFSET(A1,52,15)</f>
        <v>0</v>
      </c>
      <c r="T4" s="7">
        <f ca="1">OFFSET(A1,53,15)</f>
        <v>0</v>
      </c>
    </row>
    <row r="5" spans="1:20" x14ac:dyDescent="0.2">
      <c r="A5" s="7">
        <v>3</v>
      </c>
      <c r="B5" s="7">
        <v>219.1653</v>
      </c>
      <c r="C5" s="7">
        <v>229.34129999999999</v>
      </c>
      <c r="D5" s="7">
        <v>2915.7350000000001</v>
      </c>
      <c r="E5" s="7">
        <v>2451.6799999999998</v>
      </c>
      <c r="F5" s="7">
        <v>238.37960000000001</v>
      </c>
      <c r="G5" s="7">
        <v>11.65926</v>
      </c>
      <c r="H5" s="7">
        <v>116.1681</v>
      </c>
      <c r="I5" s="7">
        <v>10.88927</v>
      </c>
      <c r="J5" s="7">
        <v>7.4024159999999997</v>
      </c>
      <c r="K5" s="7">
        <v>0.58639019999999997</v>
      </c>
      <c r="L5" s="7">
        <v>0.30186089999999999</v>
      </c>
      <c r="M5" s="7">
        <v>6.0699500000000003E-2</v>
      </c>
      <c r="N5" s="7">
        <v>1.0667999999999999E-3</v>
      </c>
      <c r="O5" s="7">
        <v>4.573E-4</v>
      </c>
      <c r="P5" s="7">
        <f ca="1">SUM(OFFSET($A$1,4,1,1,14))</f>
        <v>6201.3707206999998</v>
      </c>
      <c r="Q5" s="7">
        <f ca="1">SUM(OFFSET($A$1,4,1,1,12))</f>
        <v>6201.3691965999997</v>
      </c>
      <c r="R5" s="7" t="s">
        <v>92</v>
      </c>
      <c r="S5" s="7">
        <f ca="1">OFFSET(A1,70,15)</f>
        <v>38638.185314199996</v>
      </c>
      <c r="T5" s="7">
        <f ca="1">OFFSET(A1,71,15)</f>
        <v>37450.320168300001</v>
      </c>
    </row>
    <row r="6" spans="1:20" x14ac:dyDescent="0.2">
      <c r="A6" s="7">
        <v>4</v>
      </c>
      <c r="B6" s="7">
        <v>175.60640000000001</v>
      </c>
      <c r="C6" s="7">
        <v>469.45870000000002</v>
      </c>
      <c r="D6" s="7">
        <v>1476.942</v>
      </c>
      <c r="E6" s="7">
        <v>38802.36</v>
      </c>
      <c r="F6" s="7">
        <v>3800.9780000000001</v>
      </c>
      <c r="G6" s="7">
        <v>222.72059999999999</v>
      </c>
      <c r="H6" s="7">
        <v>2167.92</v>
      </c>
      <c r="I6" s="7">
        <v>118.5873</v>
      </c>
      <c r="J6" s="7">
        <v>110.0385</v>
      </c>
      <c r="K6" s="7">
        <v>7.9024239999999999</v>
      </c>
      <c r="L6" s="7">
        <v>3.745101</v>
      </c>
      <c r="M6" s="7">
        <v>0.88711850000000003</v>
      </c>
      <c r="N6" s="7">
        <v>1.2097500000000001E-2</v>
      </c>
      <c r="O6" s="7">
        <v>2.5197000000000002E-3</v>
      </c>
      <c r="P6" s="7">
        <f ca="1">SUM(OFFSET($A$1,5,1,1,14))</f>
        <v>47357.160760700011</v>
      </c>
      <c r="Q6" s="7">
        <f ca="1">SUM(OFFSET($A$1,5,1,1,12))</f>
        <v>47357.146143500009</v>
      </c>
      <c r="R6" s="7" t="s">
        <v>94</v>
      </c>
      <c r="S6" s="7">
        <f ca="1">OFFSET(A1,88,15)</f>
        <v>21948.314945399998</v>
      </c>
      <c r="T6" s="7">
        <f ca="1">OFFSET(A1,89,15)</f>
        <v>21947.171088700004</v>
      </c>
    </row>
    <row r="7" spans="1:20" x14ac:dyDescent="0.2">
      <c r="A7" s="7">
        <v>5</v>
      </c>
      <c r="B7" s="7">
        <v>58.29645</v>
      </c>
      <c r="C7" s="7">
        <v>655.5154</v>
      </c>
      <c r="D7" s="7">
        <v>122.04989999999999</v>
      </c>
      <c r="E7" s="7">
        <v>4081.6219999999998</v>
      </c>
      <c r="F7" s="7">
        <v>23677.9</v>
      </c>
      <c r="G7" s="7">
        <v>2277.5419999999999</v>
      </c>
      <c r="H7" s="7">
        <v>630.56610000000001</v>
      </c>
      <c r="I7" s="7">
        <v>88.938580000000002</v>
      </c>
      <c r="J7" s="7">
        <v>1335.462</v>
      </c>
      <c r="K7" s="7">
        <v>69.171220000000005</v>
      </c>
      <c r="L7" s="7">
        <v>79.848699999999994</v>
      </c>
      <c r="M7" s="7">
        <v>23.085540000000002</v>
      </c>
      <c r="N7" s="7">
        <v>0.31437130000000002</v>
      </c>
      <c r="O7" s="7">
        <v>0.18479889999999999</v>
      </c>
      <c r="P7" s="7">
        <f ca="1">SUM(OFFSET($A$1,6,1,1,14))</f>
        <v>33100.497060200003</v>
      </c>
      <c r="Q7" s="7">
        <f ca="1">SUM(OFFSET($A$1,6,1,1,12))</f>
        <v>33099.997889999999</v>
      </c>
      <c r="R7" s="7" t="s">
        <v>96</v>
      </c>
      <c r="S7" s="7">
        <f ca="1">OFFSET(A1,106,15)</f>
        <v>71172.456852600008</v>
      </c>
      <c r="T7" s="7">
        <f ca="1">OFFSET(A1,107,15)</f>
        <v>66571.624297400034</v>
      </c>
    </row>
    <row r="8" spans="1:20" x14ac:dyDescent="0.2">
      <c r="A8" s="7">
        <v>6</v>
      </c>
      <c r="B8" s="7">
        <v>0.9986275</v>
      </c>
      <c r="C8" s="7">
        <v>19.664850000000001</v>
      </c>
      <c r="D8" s="7">
        <v>5.33561</v>
      </c>
      <c r="E8" s="7">
        <v>210.9468</v>
      </c>
      <c r="F8" s="7">
        <v>2218.9</v>
      </c>
      <c r="G8" s="7">
        <v>19117.7</v>
      </c>
      <c r="H8" s="7">
        <v>17.535779999999999</v>
      </c>
      <c r="I8" s="7">
        <v>2.2262420000000001</v>
      </c>
      <c r="J8" s="7">
        <v>419.4803</v>
      </c>
      <c r="K8" s="7">
        <v>6.7409610000000004</v>
      </c>
      <c r="L8" s="7">
        <v>921.20479999999998</v>
      </c>
      <c r="M8" s="7">
        <v>41.18909</v>
      </c>
      <c r="N8" s="7">
        <v>5.98576</v>
      </c>
      <c r="O8" s="7">
        <v>0.3376731</v>
      </c>
      <c r="P8" s="7">
        <f ca="1">SUM(OFFSET($A$1,7,1,1,14))</f>
        <v>22988.246493599996</v>
      </c>
      <c r="Q8" s="7">
        <f ca="1">SUM(OFFSET($A$1,7,1,1,12))</f>
        <v>22981.923060499998</v>
      </c>
      <c r="R8" s="7" t="s">
        <v>98</v>
      </c>
      <c r="S8" s="7">
        <f ca="1">OFFSET(A1,124,15)</f>
        <v>10181.332653400001</v>
      </c>
      <c r="T8" s="7">
        <f ca="1">OFFSET(A1,125,15)</f>
        <v>9854.1025723999992</v>
      </c>
    </row>
    <row r="9" spans="1:20" x14ac:dyDescent="0.2">
      <c r="A9" s="7">
        <v>7</v>
      </c>
      <c r="B9" s="7">
        <v>2.0752519999999999</v>
      </c>
      <c r="C9" s="7">
        <v>11.894360000000001</v>
      </c>
      <c r="D9" s="7">
        <v>60.915059999999997</v>
      </c>
      <c r="E9" s="7">
        <v>2171.6640000000002</v>
      </c>
      <c r="F9" s="7">
        <v>619.94979999999998</v>
      </c>
      <c r="G9" s="7">
        <v>17.59085</v>
      </c>
      <c r="H9" s="7">
        <v>17627.28</v>
      </c>
      <c r="I9" s="7">
        <v>852.65880000000004</v>
      </c>
      <c r="J9" s="7">
        <v>496.6472</v>
      </c>
      <c r="K9" s="7">
        <v>93.657600000000002</v>
      </c>
      <c r="L9" s="7">
        <v>0.4958533</v>
      </c>
      <c r="M9" s="7">
        <v>0.53409609999999996</v>
      </c>
      <c r="N9" s="7">
        <v>7.228E-4</v>
      </c>
      <c r="O9" s="7">
        <v>1.9253E-3</v>
      </c>
      <c r="P9" s="7">
        <f ca="1">SUM(OFFSET($A$1,8,1,1,14))</f>
        <v>21955.365519499996</v>
      </c>
      <c r="Q9" s="7">
        <f ca="1">SUM(OFFSET($A$1,8,1,1,12))</f>
        <v>21955.362871399997</v>
      </c>
      <c r="R9" s="7" t="s">
        <v>100</v>
      </c>
      <c r="S9" s="7">
        <f ca="1">OFFSET(A1,142,15)</f>
        <v>0</v>
      </c>
      <c r="T9" s="7">
        <f ca="1">OFFSET(A1,143,15)</f>
        <v>0</v>
      </c>
    </row>
    <row r="10" spans="1:20" x14ac:dyDescent="0.2">
      <c r="A10" s="7">
        <v>8</v>
      </c>
      <c r="B10" s="7">
        <v>0.1256545</v>
      </c>
      <c r="C10" s="7">
        <v>0.31136370000000002</v>
      </c>
      <c r="D10" s="7">
        <v>6.1241149999999998</v>
      </c>
      <c r="E10" s="7">
        <v>111.8605</v>
      </c>
      <c r="F10" s="7">
        <v>82.715209999999999</v>
      </c>
      <c r="G10" s="7">
        <v>2.1794549999999999</v>
      </c>
      <c r="H10" s="7">
        <v>813.15779999999995</v>
      </c>
      <c r="I10" s="7">
        <v>3754.49</v>
      </c>
      <c r="J10" s="7">
        <v>346.3098</v>
      </c>
      <c r="K10" s="7">
        <v>27.926159999999999</v>
      </c>
      <c r="L10" s="7">
        <v>0.13458429999999999</v>
      </c>
      <c r="M10" s="7">
        <v>3.6407889999999998</v>
      </c>
      <c r="N10" s="7">
        <v>2.107E-4</v>
      </c>
      <c r="O10" s="7">
        <v>1.2699E-3</v>
      </c>
      <c r="P10" s="7">
        <f ca="1">SUM(OFFSET($A$1,9,1,1,14))</f>
        <v>5148.9769120999999</v>
      </c>
      <c r="Q10" s="7">
        <f ca="1">SUM(OFFSET($A$1,9,1,1,12))</f>
        <v>5148.9754315</v>
      </c>
    </row>
    <row r="11" spans="1:20" x14ac:dyDescent="0.2">
      <c r="A11" s="7">
        <v>9</v>
      </c>
      <c r="B11" s="7">
        <v>0.18752050000000001</v>
      </c>
      <c r="C11" s="7">
        <v>2.4636689999999999</v>
      </c>
      <c r="D11" s="7">
        <v>3.1344470000000002</v>
      </c>
      <c r="E11" s="7">
        <v>104.6326</v>
      </c>
      <c r="F11" s="7">
        <v>1259.913</v>
      </c>
      <c r="G11" s="7">
        <v>414.4864</v>
      </c>
      <c r="H11" s="7">
        <v>483.4522</v>
      </c>
      <c r="I11" s="7">
        <v>350.84309999999999</v>
      </c>
      <c r="J11" s="7">
        <v>35909.769999999997</v>
      </c>
      <c r="K11" s="7">
        <v>1031.933</v>
      </c>
      <c r="L11" s="7">
        <v>24.982150000000001</v>
      </c>
      <c r="M11" s="7">
        <v>3198.1930000000002</v>
      </c>
      <c r="N11" s="7">
        <v>0.17645179999999999</v>
      </c>
      <c r="O11" s="7">
        <v>9.8279049999999994</v>
      </c>
      <c r="P11" s="7">
        <f ca="1">SUM(OFFSET($A$1,10,1,1,14))</f>
        <v>42793.995443299995</v>
      </c>
      <c r="Q11" s="7">
        <f ca="1">SUM(OFFSET($A$1,10,1,1,12))</f>
        <v>42783.991086499998</v>
      </c>
    </row>
    <row r="12" spans="1:20" x14ac:dyDescent="0.2">
      <c r="A12" s="7">
        <v>10</v>
      </c>
      <c r="B12" s="7">
        <v>3.6386999999999999E-3</v>
      </c>
      <c r="C12" s="7">
        <v>3.7774500000000003E-2</v>
      </c>
      <c r="D12" s="7">
        <v>0.27391779999999999</v>
      </c>
      <c r="E12" s="7">
        <v>7.4795689999999997</v>
      </c>
      <c r="F12" s="7">
        <v>64.169460000000001</v>
      </c>
      <c r="G12" s="7">
        <v>6.4545539999999999</v>
      </c>
      <c r="H12" s="7">
        <v>90.089479999999995</v>
      </c>
      <c r="I12" s="7">
        <v>28.059529999999999</v>
      </c>
      <c r="J12" s="7">
        <v>1021.503</v>
      </c>
      <c r="K12" s="7">
        <v>9767.0540000000001</v>
      </c>
      <c r="L12" s="7">
        <v>7.7127100000000004E-2</v>
      </c>
      <c r="M12" s="7">
        <v>706.10450000000003</v>
      </c>
      <c r="N12" s="7">
        <v>1.2049000000000001E-3</v>
      </c>
      <c r="O12" s="7">
        <v>0.52502040000000005</v>
      </c>
      <c r="P12" s="7">
        <f ca="1">SUM(OFFSET($A$1,11,1,1,14))</f>
        <v>11691.832776399999</v>
      </c>
      <c r="Q12" s="7">
        <f ca="1">SUM(OFFSET($A$1,11,1,1,12))</f>
        <v>11691.306551099999</v>
      </c>
    </row>
    <row r="13" spans="1:20" x14ac:dyDescent="0.2">
      <c r="A13" s="7">
        <v>11</v>
      </c>
      <c r="B13" s="7">
        <v>1.7086299999999999E-2</v>
      </c>
      <c r="C13" s="7">
        <v>0.20517270000000001</v>
      </c>
      <c r="D13" s="7">
        <v>0.16490550000000001</v>
      </c>
      <c r="E13" s="7">
        <v>3.4791479999999999</v>
      </c>
      <c r="F13" s="7">
        <v>74.546850000000006</v>
      </c>
      <c r="G13" s="7">
        <v>871.14329999999995</v>
      </c>
      <c r="H13" s="7">
        <v>0.48401889999999997</v>
      </c>
      <c r="I13" s="7">
        <v>0.1346222</v>
      </c>
      <c r="J13" s="7">
        <v>24.484210000000001</v>
      </c>
      <c r="K13" s="7">
        <v>7.7060400000000001E-2</v>
      </c>
      <c r="L13" s="7">
        <v>7835.0209999999997</v>
      </c>
      <c r="M13" s="7">
        <v>85.534540000000007</v>
      </c>
      <c r="N13" s="7">
        <v>95.845429999999993</v>
      </c>
      <c r="O13" s="7">
        <v>13.54274</v>
      </c>
      <c r="P13" s="7">
        <f ca="1">SUM(OFFSET($A$1,12,1,1,14))</f>
        <v>9004.6800839999996</v>
      </c>
      <c r="Q13" s="7">
        <f ca="1">SUM(OFFSET($A$1,12,1,1,12))</f>
        <v>8895.2919139999995</v>
      </c>
    </row>
    <row r="14" spans="1:20" x14ac:dyDescent="0.2">
      <c r="A14" s="7">
        <v>12</v>
      </c>
      <c r="B14" s="7">
        <v>3.6034999999999999E-3</v>
      </c>
      <c r="C14" s="7">
        <v>9.4130099999999994E-2</v>
      </c>
      <c r="D14" s="7">
        <v>3.51548E-2</v>
      </c>
      <c r="E14" s="7">
        <v>0.83675940000000004</v>
      </c>
      <c r="F14" s="7">
        <v>21.824280000000002</v>
      </c>
      <c r="G14" s="7">
        <v>40.281269999999999</v>
      </c>
      <c r="H14" s="7">
        <v>0.53349190000000002</v>
      </c>
      <c r="I14" s="7">
        <v>3.8385030000000002</v>
      </c>
      <c r="J14" s="7">
        <v>3303.3130000000001</v>
      </c>
      <c r="K14" s="7">
        <v>730.6816</v>
      </c>
      <c r="L14" s="7">
        <v>86.650139999999993</v>
      </c>
      <c r="M14" s="7">
        <v>14182.41</v>
      </c>
      <c r="N14" s="7">
        <v>3.816039</v>
      </c>
      <c r="O14" s="7">
        <v>663.76070000000004</v>
      </c>
      <c r="P14" s="7">
        <f ca="1">SUM(OFFSET($A$1,13,1,1,14))</f>
        <v>19038.078671700001</v>
      </c>
      <c r="Q14" s="7">
        <f ca="1">SUM(OFFSET($A$1,13,1,1,12))</f>
        <v>18370.501932700001</v>
      </c>
    </row>
    <row r="15" spans="1:20" x14ac:dyDescent="0.2">
      <c r="A15" s="7">
        <v>13</v>
      </c>
      <c r="B15" s="7">
        <v>5.4400000000000001E-5</v>
      </c>
      <c r="C15" s="7">
        <v>6.4959999999999996E-4</v>
      </c>
      <c r="D15" s="7">
        <v>6.4630000000000004E-4</v>
      </c>
      <c r="E15" s="7">
        <v>1.10857E-2</v>
      </c>
      <c r="F15" s="7">
        <v>0.28701789999999999</v>
      </c>
      <c r="G15" s="7">
        <v>5.7044940000000004</v>
      </c>
      <c r="H15" s="7">
        <v>6.9559999999999999E-4</v>
      </c>
      <c r="I15" s="7">
        <v>2.0809999999999999E-4</v>
      </c>
      <c r="J15" s="7">
        <v>0.17233000000000001</v>
      </c>
      <c r="K15" s="7">
        <v>1.2059E-3</v>
      </c>
      <c r="L15" s="7">
        <v>95.787490000000005</v>
      </c>
      <c r="M15" s="7">
        <v>3.7937189999999998</v>
      </c>
      <c r="N15" s="7">
        <v>4076.9520000000002</v>
      </c>
      <c r="O15" s="7">
        <v>715.85599999999999</v>
      </c>
      <c r="P15" s="7">
        <f ca="1">SUM(OFFSET($A$1,14,1,1,14))</f>
        <v>4898.5675965</v>
      </c>
      <c r="Q15" s="7">
        <f ca="1">SUM(OFFSET($A$1,14,1,1,12))</f>
        <v>105.7595965</v>
      </c>
    </row>
    <row r="16" spans="1:20" x14ac:dyDescent="0.2">
      <c r="A16" s="7">
        <v>14</v>
      </c>
      <c r="B16" s="7">
        <v>2.34E-5</v>
      </c>
      <c r="C16" s="7">
        <v>3.0729999999999999E-4</v>
      </c>
      <c r="D16" s="7">
        <v>2.631E-4</v>
      </c>
      <c r="E16" s="7">
        <v>2.3341999999999998E-3</v>
      </c>
      <c r="F16" s="7">
        <v>0.1706995</v>
      </c>
      <c r="G16" s="7">
        <v>0.32234180000000001</v>
      </c>
      <c r="H16" s="7">
        <v>1.8828E-3</v>
      </c>
      <c r="I16" s="7">
        <v>1.2753E-3</v>
      </c>
      <c r="J16" s="7">
        <v>9.6927219999999998</v>
      </c>
      <c r="K16" s="7">
        <v>0.52372949999999996</v>
      </c>
      <c r="L16" s="7">
        <v>13.73455</v>
      </c>
      <c r="M16" s="7">
        <v>663.47429999999997</v>
      </c>
      <c r="N16" s="7">
        <v>722.65869999999995</v>
      </c>
      <c r="O16" s="7">
        <v>29643.24</v>
      </c>
      <c r="P16" s="7">
        <f ca="1">SUM(OFFSET($A$1,15,1,1,14))</f>
        <v>31053.823128900003</v>
      </c>
      <c r="Q16" s="7">
        <f ca="1">SUM(OFFSET($A$1,15,1,1,12))</f>
        <v>687.92442889999995</v>
      </c>
    </row>
    <row r="17" spans="1:17" x14ac:dyDescent="0.2">
      <c r="A17" s="7" t="s">
        <v>43</v>
      </c>
      <c r="B17" s="7">
        <f ca="1">SUM(OFFSET($A$1,2,1,14,1))</f>
        <v>5550.7946107999996</v>
      </c>
      <c r="C17" s="7">
        <f ca="1">SUM(OFFSET($A$1,2,2,14,1))</f>
        <v>15795.043676900003</v>
      </c>
      <c r="D17" s="7">
        <f ca="1">SUM(OFFSET($A$1,2,3,14,1))</f>
        <v>4844.4321195000002</v>
      </c>
      <c r="E17" s="7">
        <f ca="1">SUM(OFFSET($A$1,2,4,14,1))</f>
        <v>48567.157096300005</v>
      </c>
      <c r="F17" s="7">
        <f ca="1">SUM(OFFSET($A$1,2,5,14,1))</f>
        <v>32733.149907399998</v>
      </c>
      <c r="G17" s="7">
        <f ca="1">SUM(OFFSET($A$1,2,6,14,1))</f>
        <v>23008.585692800007</v>
      </c>
      <c r="H17" s="7">
        <f ca="1">SUM(OFFSET($A$1,2,7,14,1))</f>
        <v>21960.833619199999</v>
      </c>
      <c r="I17" s="7">
        <f ca="1">SUM(OFFSET($A$1,2,8,14,1))</f>
        <v>5211.1272589000009</v>
      </c>
      <c r="J17" s="7">
        <f ca="1">SUM(OFFSET($A$1,2,9,14,1))</f>
        <v>42986.976303199997</v>
      </c>
      <c r="K17" s="7">
        <f ca="1">SUM(OFFSET($A$1,2,10,14,1))</f>
        <v>11736.298306100001</v>
      </c>
      <c r="L17" s="7">
        <f ca="1">SUM(OFFSET($A$1,2,11,14,1))</f>
        <v>9062.2129126</v>
      </c>
      <c r="M17" s="7">
        <f ca="1">SUM(OFFSET($A$1,2,12,14,1))</f>
        <v>18909.006870100002</v>
      </c>
      <c r="N17" s="7">
        <f ca="1">SUM(OFFSET($A$1,2,13,14,1))</f>
        <v>4905.7647905000003</v>
      </c>
      <c r="O17" s="7">
        <f ca="1">SUM(OFFSET($A$1,2,14,14,1))</f>
        <v>31047.281350500001</v>
      </c>
      <c r="P17" s="7">
        <f ca="1">SUM(OFFSET($A$1,16,1,1,14))</f>
        <v>276318.66451480001</v>
      </c>
      <c r="Q17" s="7">
        <f ca="1">SUM(OFFSET($A$1,16,1,1,12))</f>
        <v>240365.61837380004</v>
      </c>
    </row>
    <row r="18" spans="1:17" x14ac:dyDescent="0.2">
      <c r="O18" s="12" t="s">
        <v>59</v>
      </c>
      <c r="P18" s="7">
        <f ca="1">SUM(OFFSET($B$3,0,0,12,12))</f>
        <v>239571.93434839995</v>
      </c>
    </row>
    <row r="19" spans="1:17" x14ac:dyDescent="0.2">
      <c r="A19" s="7" t="s">
        <v>89</v>
      </c>
    </row>
    <row r="20" spans="1:17" x14ac:dyDescent="0.2">
      <c r="B20" s="7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 t="s">
        <v>43</v>
      </c>
      <c r="Q20" s="7" t="s">
        <v>61</v>
      </c>
    </row>
    <row r="21" spans="1:17" x14ac:dyDescent="0.2">
      <c r="A21" s="7">
        <v>1</v>
      </c>
      <c r="B21" s="7">
        <v>2763.808</v>
      </c>
      <c r="C21" s="7">
        <v>1416.9549999999999</v>
      </c>
      <c r="D21" s="7">
        <v>222.11750000000001</v>
      </c>
      <c r="E21" s="7">
        <v>179.49780000000001</v>
      </c>
      <c r="F21" s="7">
        <v>67.958060000000003</v>
      </c>
      <c r="G21" s="7">
        <v>1.3730180000000001</v>
      </c>
      <c r="H21" s="7">
        <v>2.5829909999999998</v>
      </c>
      <c r="I21" s="7">
        <v>0.18950210000000001</v>
      </c>
      <c r="J21" s="7">
        <v>0.28843960000000002</v>
      </c>
      <c r="K21" s="7">
        <v>6.9909000000000004E-3</v>
      </c>
      <c r="L21" s="7">
        <v>3.1797699999999998E-2</v>
      </c>
      <c r="M21" s="7">
        <v>7.1878000000000003E-3</v>
      </c>
      <c r="N21" s="7">
        <v>1.4679999999999999E-4</v>
      </c>
      <c r="O21" s="7">
        <v>6.9599999999999998E-5</v>
      </c>
      <c r="P21" s="7">
        <f ca="1">SUM(OFFSET($A$19,2,1,1,14))</f>
        <v>4654.8165035000011</v>
      </c>
      <c r="Q21" s="7">
        <f ca="1">SUM(OFFSET($A$19,2,1,1,12))</f>
        <v>4654.8162871000013</v>
      </c>
    </row>
    <row r="22" spans="1:17" x14ac:dyDescent="0.2">
      <c r="A22" s="7">
        <v>2</v>
      </c>
      <c r="B22" s="7">
        <v>1467.386</v>
      </c>
      <c r="C22" s="7">
        <v>9175.6350000000002</v>
      </c>
      <c r="D22" s="7">
        <v>200.3099</v>
      </c>
      <c r="E22" s="7">
        <v>454.81740000000002</v>
      </c>
      <c r="F22" s="7">
        <v>647.41330000000005</v>
      </c>
      <c r="G22" s="7">
        <v>22.94868</v>
      </c>
      <c r="H22" s="7">
        <v>13.77333</v>
      </c>
      <c r="I22" s="7">
        <v>0.43685960000000001</v>
      </c>
      <c r="J22" s="7">
        <v>3.1745000000000001</v>
      </c>
      <c r="K22" s="7">
        <v>6.16161E-2</v>
      </c>
      <c r="L22" s="7">
        <v>0.3272622</v>
      </c>
      <c r="M22" s="7">
        <v>0.1603029</v>
      </c>
      <c r="N22" s="7">
        <v>1.4905000000000001E-3</v>
      </c>
      <c r="O22" s="7">
        <v>7.7510000000000003E-4</v>
      </c>
      <c r="P22" s="7">
        <f ca="1">SUM(OFFSET($A$19,3,1,1,14))</f>
        <v>11986.4464164</v>
      </c>
      <c r="Q22" s="7">
        <f ca="1">SUM(OFFSET($A$19,3,1,1,12))</f>
        <v>11986.4441508</v>
      </c>
    </row>
    <row r="23" spans="1:17" x14ac:dyDescent="0.2">
      <c r="A23" s="7">
        <v>3</v>
      </c>
      <c r="B23" s="7">
        <v>240.74809999999999</v>
      </c>
      <c r="C23" s="7">
        <v>231.48670000000001</v>
      </c>
      <c r="D23" s="7">
        <v>2427.991</v>
      </c>
      <c r="E23" s="7">
        <v>2346.8609999999999</v>
      </c>
      <c r="F23" s="7">
        <v>244.1824</v>
      </c>
      <c r="G23" s="7">
        <v>13.40757</v>
      </c>
      <c r="H23" s="7">
        <v>126.3229</v>
      </c>
      <c r="I23" s="7">
        <v>13.64255</v>
      </c>
      <c r="J23" s="7">
        <v>9.3971859999999996</v>
      </c>
      <c r="K23" s="7">
        <v>0.91941419999999996</v>
      </c>
      <c r="L23" s="7">
        <v>0.47026960000000001</v>
      </c>
      <c r="M23" s="7">
        <v>0.1021687</v>
      </c>
      <c r="N23" s="7">
        <v>2.4356E-3</v>
      </c>
      <c r="O23" s="7">
        <v>1.1605000000000001E-3</v>
      </c>
      <c r="P23" s="7">
        <f ca="1">SUM(OFFSET($A$19,4,1,1,14))</f>
        <v>5655.5348546000005</v>
      </c>
      <c r="Q23" s="7">
        <f ca="1">SUM(OFFSET($A$19,4,1,1,12))</f>
        <v>5655.5312585000001</v>
      </c>
    </row>
    <row r="24" spans="1:17" x14ac:dyDescent="0.2">
      <c r="A24" s="7">
        <v>4</v>
      </c>
      <c r="B24" s="7">
        <v>176.7132</v>
      </c>
      <c r="C24" s="7">
        <v>445.56670000000003</v>
      </c>
      <c r="D24" s="7">
        <v>2089.8420000000001</v>
      </c>
      <c r="E24" s="7">
        <v>21689.43</v>
      </c>
      <c r="F24" s="7">
        <v>3699.4369999999999</v>
      </c>
      <c r="G24" s="7">
        <v>233.4725</v>
      </c>
      <c r="H24" s="7">
        <v>2080.703</v>
      </c>
      <c r="I24" s="7">
        <v>131.6379</v>
      </c>
      <c r="J24" s="7">
        <v>125.2727</v>
      </c>
      <c r="K24" s="7">
        <v>10.955349999999999</v>
      </c>
      <c r="L24" s="7">
        <v>5.2306419999999996</v>
      </c>
      <c r="M24" s="7">
        <v>1.347475</v>
      </c>
      <c r="N24" s="7">
        <v>2.3943900000000001E-2</v>
      </c>
      <c r="O24" s="7">
        <v>5.5196000000000004E-3</v>
      </c>
      <c r="P24" s="7">
        <f ca="1">SUM(OFFSET($A$19,5,1,1,14))</f>
        <v>30689.637930499997</v>
      </c>
      <c r="Q24" s="7">
        <f ca="1">SUM(OFFSET($A$19,5,1,1,12))</f>
        <v>30689.608466999998</v>
      </c>
    </row>
    <row r="25" spans="1:17" x14ac:dyDescent="0.2">
      <c r="A25" s="7">
        <v>5</v>
      </c>
      <c r="B25" s="7">
        <v>66.155259999999998</v>
      </c>
      <c r="C25" s="7">
        <v>612.48609999999996</v>
      </c>
      <c r="D25" s="7">
        <v>196.71870000000001</v>
      </c>
      <c r="E25" s="7">
        <v>3543.828</v>
      </c>
      <c r="F25" s="7">
        <v>17277.2</v>
      </c>
      <c r="G25" s="7">
        <v>2085.3150000000001</v>
      </c>
      <c r="H25" s="7">
        <v>623.67660000000001</v>
      </c>
      <c r="I25" s="7">
        <v>93.150040000000004</v>
      </c>
      <c r="J25" s="7">
        <v>1268.9680000000001</v>
      </c>
      <c r="K25" s="7">
        <v>81.518979999999999</v>
      </c>
      <c r="L25" s="7">
        <v>96.176050000000004</v>
      </c>
      <c r="M25" s="7">
        <v>29.88325</v>
      </c>
      <c r="N25" s="7">
        <v>0.5425278</v>
      </c>
      <c r="O25" s="7">
        <v>0.34949770000000002</v>
      </c>
      <c r="P25" s="7">
        <f ca="1">SUM(OFFSET($A$19,6,1,1,14))</f>
        <v>25975.968005499999</v>
      </c>
      <c r="Q25" s="7">
        <f ca="1">SUM(OFFSET($A$19,6,1,1,12))</f>
        <v>25975.075979999998</v>
      </c>
    </row>
    <row r="26" spans="1:17" x14ac:dyDescent="0.2">
      <c r="A26" s="7">
        <v>6</v>
      </c>
      <c r="B26" s="7">
        <v>1.381373</v>
      </c>
      <c r="C26" s="7">
        <v>22.84055</v>
      </c>
      <c r="D26" s="7">
        <v>10.74704</v>
      </c>
      <c r="E26" s="7">
        <v>237.3595</v>
      </c>
      <c r="F26" s="7">
        <v>2171.1109999999999</v>
      </c>
      <c r="G26" s="7">
        <v>14007.53</v>
      </c>
      <c r="H26" s="7">
        <v>20.44614</v>
      </c>
      <c r="I26" s="7">
        <v>2.5141469999999999</v>
      </c>
      <c r="J26" s="7">
        <v>422.43630000000002</v>
      </c>
      <c r="K26" s="7">
        <v>8.1563540000000003</v>
      </c>
      <c r="L26" s="7">
        <v>961.8569</v>
      </c>
      <c r="M26" s="7">
        <v>52.3566</v>
      </c>
      <c r="N26" s="7">
        <v>8.8945369999999997</v>
      </c>
      <c r="O26" s="7">
        <v>0.61687230000000004</v>
      </c>
      <c r="P26" s="7">
        <f ca="1">SUM(OFFSET($A$19,7,1,1,14))</f>
        <v>17928.247313300002</v>
      </c>
      <c r="Q26" s="7">
        <f ca="1">SUM(OFFSET($A$19,7,1,1,12))</f>
        <v>17918.735904000001</v>
      </c>
    </row>
    <row r="27" spans="1:17" x14ac:dyDescent="0.2">
      <c r="A27" s="7">
        <v>7</v>
      </c>
      <c r="B27" s="7">
        <v>2.5677840000000001</v>
      </c>
      <c r="C27" s="7">
        <v>13.61422</v>
      </c>
      <c r="D27" s="7">
        <v>107.1846</v>
      </c>
      <c r="E27" s="7">
        <v>2061.1799999999998</v>
      </c>
      <c r="F27" s="7">
        <v>643.82489999999996</v>
      </c>
      <c r="G27" s="7">
        <v>20.459299999999999</v>
      </c>
      <c r="H27" s="7">
        <v>13024.72</v>
      </c>
      <c r="I27" s="7">
        <v>871.54629999999997</v>
      </c>
      <c r="J27" s="7">
        <v>544.54390000000001</v>
      </c>
      <c r="K27" s="7">
        <v>119.3633</v>
      </c>
      <c r="L27" s="7">
        <v>0.75428390000000001</v>
      </c>
      <c r="M27" s="7">
        <v>0.85073569999999998</v>
      </c>
      <c r="N27" s="7">
        <v>1.567E-3</v>
      </c>
      <c r="O27" s="7">
        <v>4.3917000000000001E-3</v>
      </c>
      <c r="P27" s="7">
        <f ca="1">SUM(OFFSET($A$19,8,1,1,14))</f>
        <v>17410.615282300005</v>
      </c>
      <c r="Q27" s="7">
        <f ca="1">SUM(OFFSET($A$19,8,1,1,12))</f>
        <v>17410.609323600005</v>
      </c>
    </row>
    <row r="28" spans="1:17" x14ac:dyDescent="0.2">
      <c r="A28" s="7">
        <v>8</v>
      </c>
      <c r="B28" s="7">
        <v>0.1965353</v>
      </c>
      <c r="C28" s="7">
        <v>0.44357659999999999</v>
      </c>
      <c r="D28" s="7">
        <v>14.118320000000001</v>
      </c>
      <c r="E28" s="7">
        <v>135.72020000000001</v>
      </c>
      <c r="F28" s="7">
        <v>97.726380000000006</v>
      </c>
      <c r="G28" s="7">
        <v>2.5390969999999999</v>
      </c>
      <c r="H28" s="7">
        <v>903.34479999999996</v>
      </c>
      <c r="I28" s="7">
        <v>2704.5030000000002</v>
      </c>
      <c r="J28" s="7">
        <v>353.53750000000002</v>
      </c>
      <c r="K28" s="7">
        <v>33.234749999999998</v>
      </c>
      <c r="L28" s="7">
        <v>0.1962197</v>
      </c>
      <c r="M28" s="7">
        <v>5.4928509999999999</v>
      </c>
      <c r="N28" s="7">
        <v>4.4119999999999999E-4</v>
      </c>
      <c r="O28" s="7">
        <v>2.6321000000000001E-3</v>
      </c>
      <c r="P28" s="7">
        <f ca="1">SUM(OFFSET($A$19,9,1,1,14))</f>
        <v>4251.0563028999995</v>
      </c>
      <c r="Q28" s="7">
        <f ca="1">SUM(OFFSET($A$19,9,1,1,12))</f>
        <v>4251.0532296000001</v>
      </c>
    </row>
    <row r="29" spans="1:17" x14ac:dyDescent="0.2">
      <c r="A29" s="7">
        <v>9</v>
      </c>
      <c r="B29" s="7">
        <v>0.28513060000000001</v>
      </c>
      <c r="C29" s="7">
        <v>3.1552440000000002</v>
      </c>
      <c r="D29" s="7">
        <v>7.0408970000000002</v>
      </c>
      <c r="E29" s="7">
        <v>124.8122</v>
      </c>
      <c r="F29" s="7">
        <v>1275.4590000000001</v>
      </c>
      <c r="G29" s="7">
        <v>416.0797</v>
      </c>
      <c r="H29" s="7">
        <v>534.13080000000002</v>
      </c>
      <c r="I29" s="7">
        <v>347.56509999999997</v>
      </c>
      <c r="J29" s="7">
        <v>25706.76</v>
      </c>
      <c r="K29" s="7">
        <v>1028.6890000000001</v>
      </c>
      <c r="L29" s="7">
        <v>31.340070000000001</v>
      </c>
      <c r="M29" s="7">
        <v>3295.7979999999998</v>
      </c>
      <c r="N29" s="7">
        <v>0.31630910000000001</v>
      </c>
      <c r="O29" s="7">
        <v>14.646649999999999</v>
      </c>
      <c r="P29" s="7">
        <f ca="1">SUM(OFFSET($A$19,10,1,1,14))</f>
        <v>32786.078100700004</v>
      </c>
      <c r="Q29" s="7">
        <f ca="1">SUM(OFFSET($A$19,10,1,1,12))</f>
        <v>32771.115141599999</v>
      </c>
    </row>
    <row r="30" spans="1:17" x14ac:dyDescent="0.2">
      <c r="A30" s="7">
        <v>10</v>
      </c>
      <c r="B30" s="7">
        <v>6.9572000000000002E-3</v>
      </c>
      <c r="C30" s="7">
        <v>6.1367699999999997E-2</v>
      </c>
      <c r="D30" s="7">
        <v>0.76888259999999997</v>
      </c>
      <c r="E30" s="7">
        <v>11.02078</v>
      </c>
      <c r="F30" s="7">
        <v>81.768709999999999</v>
      </c>
      <c r="G30" s="7">
        <v>8.165718</v>
      </c>
      <c r="H30" s="7">
        <v>119.786</v>
      </c>
      <c r="I30" s="7">
        <v>32.944580000000002</v>
      </c>
      <c r="J30" s="7">
        <v>1032.1400000000001</v>
      </c>
      <c r="K30" s="7">
        <v>6874.0950000000003</v>
      </c>
      <c r="L30" s="7">
        <v>0.12257999999999999</v>
      </c>
      <c r="M30" s="7">
        <v>828.10940000000005</v>
      </c>
      <c r="N30" s="7">
        <v>2.4353000000000001E-3</v>
      </c>
      <c r="O30" s="7">
        <v>0.82099080000000002</v>
      </c>
      <c r="P30" s="7">
        <f ca="1">SUM(OFFSET($A$19,11,1,1,14))</f>
        <v>8989.8134016000022</v>
      </c>
      <c r="Q30" s="7">
        <f ca="1">SUM(OFFSET($A$19,11,1,1,12))</f>
        <v>8988.9899755000006</v>
      </c>
    </row>
    <row r="31" spans="1:17" x14ac:dyDescent="0.2">
      <c r="A31" s="7">
        <v>11</v>
      </c>
      <c r="B31" s="7">
        <v>3.27642E-2</v>
      </c>
      <c r="C31" s="7">
        <v>0.33054099999999997</v>
      </c>
      <c r="D31" s="7">
        <v>0.46676719999999999</v>
      </c>
      <c r="E31" s="7">
        <v>5.4180650000000004</v>
      </c>
      <c r="F31" s="7">
        <v>101.3458</v>
      </c>
      <c r="G31" s="7">
        <v>952.00779999999997</v>
      </c>
      <c r="H31" s="7">
        <v>0.76661409999999997</v>
      </c>
      <c r="I31" s="7">
        <v>0.19768749999999999</v>
      </c>
      <c r="J31" s="7">
        <v>31.83792</v>
      </c>
      <c r="K31" s="7">
        <v>0.121877</v>
      </c>
      <c r="L31" s="7">
        <v>5877.1559999999999</v>
      </c>
      <c r="M31" s="7">
        <v>116.6494</v>
      </c>
      <c r="N31" s="7">
        <v>113.4297</v>
      </c>
      <c r="O31" s="7">
        <v>19.80545</v>
      </c>
      <c r="P31" s="7">
        <f ca="1">SUM(OFFSET($A$19,12,1,1,14))</f>
        <v>7219.5663859999995</v>
      </c>
      <c r="Q31" s="7">
        <f ca="1">SUM(OFFSET($A$19,12,1,1,12))</f>
        <v>7086.331236</v>
      </c>
    </row>
    <row r="32" spans="1:17" x14ac:dyDescent="0.2">
      <c r="A32" s="7">
        <v>12</v>
      </c>
      <c r="B32" s="7">
        <v>7.3536000000000001E-3</v>
      </c>
      <c r="C32" s="7">
        <v>0.16128400000000001</v>
      </c>
      <c r="D32" s="7">
        <v>0.1068399</v>
      </c>
      <c r="E32" s="7">
        <v>1.3788</v>
      </c>
      <c r="F32" s="7">
        <v>30.775780000000001</v>
      </c>
      <c r="G32" s="7">
        <v>52.05585</v>
      </c>
      <c r="H32" s="7">
        <v>0.85238190000000003</v>
      </c>
      <c r="I32" s="7">
        <v>5.3103290000000003</v>
      </c>
      <c r="J32" s="7">
        <v>3212.7840000000001</v>
      </c>
      <c r="K32" s="7">
        <v>806.92110000000002</v>
      </c>
      <c r="L32" s="7">
        <v>113.9019</v>
      </c>
      <c r="M32" s="7">
        <v>10946.99</v>
      </c>
      <c r="N32" s="7">
        <v>5.6374199999999997</v>
      </c>
      <c r="O32" s="7">
        <v>753.18190000000004</v>
      </c>
      <c r="P32" s="7">
        <f ca="1">SUM(OFFSET($A$19,13,1,1,14))</f>
        <v>15930.064938399999</v>
      </c>
      <c r="Q32" s="7">
        <f ca="1">SUM(OFFSET($A$19,13,1,1,12))</f>
        <v>15171.2456184</v>
      </c>
    </row>
    <row r="33" spans="1:17" x14ac:dyDescent="0.2">
      <c r="A33" s="7">
        <v>13</v>
      </c>
      <c r="B33" s="7">
        <v>1.5139999999999999E-4</v>
      </c>
      <c r="C33" s="7">
        <v>1.5123999999999999E-3</v>
      </c>
      <c r="D33" s="7">
        <v>2.7886E-3</v>
      </c>
      <c r="E33" s="7">
        <v>2.4907200000000001E-2</v>
      </c>
      <c r="F33" s="7">
        <v>0.5676795</v>
      </c>
      <c r="G33" s="7">
        <v>9.1308179999999997</v>
      </c>
      <c r="H33" s="7">
        <v>1.5916999999999999E-3</v>
      </c>
      <c r="I33" s="7">
        <v>4.4329999999999999E-4</v>
      </c>
      <c r="J33" s="7">
        <v>0.3176059</v>
      </c>
      <c r="K33" s="7">
        <v>2.4342999999999999E-3</v>
      </c>
      <c r="L33" s="7">
        <v>112.9546</v>
      </c>
      <c r="M33" s="7">
        <v>5.6381949999999996</v>
      </c>
      <c r="N33" s="7">
        <v>3407.4169999999999</v>
      </c>
      <c r="O33" s="7">
        <v>919.92370000000005</v>
      </c>
      <c r="P33" s="7">
        <f ca="1">SUM(OFFSET($A$19,14,1,1,14))</f>
        <v>4455.9834272999997</v>
      </c>
      <c r="Q33" s="7">
        <f ca="1">SUM(OFFSET($A$19,14,1,1,12))</f>
        <v>128.64272729999999</v>
      </c>
    </row>
    <row r="34" spans="1:17" x14ac:dyDescent="0.2">
      <c r="A34" s="7">
        <v>14</v>
      </c>
      <c r="B34" s="7">
        <v>7.1400000000000001E-5</v>
      </c>
      <c r="C34" s="7">
        <v>7.8189999999999998E-4</v>
      </c>
      <c r="D34" s="7">
        <v>1.2094E-3</v>
      </c>
      <c r="E34" s="7">
        <v>5.6844E-3</v>
      </c>
      <c r="F34" s="7">
        <v>0.36503750000000001</v>
      </c>
      <c r="G34" s="7">
        <v>0.61783350000000004</v>
      </c>
      <c r="H34" s="7">
        <v>4.4317999999999996E-3</v>
      </c>
      <c r="I34" s="7">
        <v>2.6285000000000002E-3</v>
      </c>
      <c r="J34" s="7">
        <v>14.770860000000001</v>
      </c>
      <c r="K34" s="7">
        <v>0.82281780000000004</v>
      </c>
      <c r="L34" s="7">
        <v>19.460149999999999</v>
      </c>
      <c r="M34" s="7">
        <v>753.84140000000002</v>
      </c>
      <c r="N34" s="7">
        <v>912.64549999999997</v>
      </c>
      <c r="O34" s="7">
        <v>24298.639999999999</v>
      </c>
      <c r="P34" s="7">
        <f ca="1">SUM(OFFSET($A$19,15,1,1,14))</f>
        <v>26001.178406200001</v>
      </c>
      <c r="Q34" s="7">
        <f ca="1">SUM(OFFSET($A$19,15,1,1,12))</f>
        <v>789.89290619999997</v>
      </c>
    </row>
    <row r="35" spans="1:17" x14ac:dyDescent="0.2">
      <c r="A35" s="7" t="s">
        <v>43</v>
      </c>
      <c r="B35" s="7">
        <f ca="1">SUM(OFFSET($A$19,2,1,14,1))</f>
        <v>4719.2886806999995</v>
      </c>
      <c r="C35" s="7">
        <f ca="1">SUM(OFFSET($A$19,2,2,14,1))</f>
        <v>11922.738577599999</v>
      </c>
      <c r="D35" s="7">
        <f ca="1">SUM(OFFSET($A$19,2,3,14,1))</f>
        <v>5277.4164446999994</v>
      </c>
      <c r="E35" s="7">
        <f ca="1">SUM(OFFSET($A$19,2,4,14,1))</f>
        <v>30791.354336600001</v>
      </c>
      <c r="F35" s="7">
        <f ca="1">SUM(OFFSET($A$19,2,5,14,1))</f>
        <v>26339.135047</v>
      </c>
      <c r="G35" s="7">
        <f ca="1">SUM(OFFSET($A$19,2,6,14,1))</f>
        <v>17825.1028845</v>
      </c>
      <c r="H35" s="7">
        <f ca="1">SUM(OFFSET($A$19,2,7,14,1))</f>
        <v>17451.111580499997</v>
      </c>
      <c r="I35" s="7">
        <f ca="1">SUM(OFFSET($A$19,2,8,14,1))</f>
        <v>4203.6410670000014</v>
      </c>
      <c r="J35" s="7">
        <f ca="1">SUM(OFFSET($A$19,2,9,14,1))</f>
        <v>32726.228911499999</v>
      </c>
      <c r="K35" s="7">
        <f ca="1">SUM(OFFSET($A$19,2,10,14,1))</f>
        <v>8964.8689843000011</v>
      </c>
      <c r="L35" s="7">
        <f ca="1">SUM(OFFSET($A$19,2,11,14,1))</f>
        <v>7219.9787250999998</v>
      </c>
      <c r="M35" s="7">
        <f ca="1">SUM(OFFSET($A$19,2,12,14,1))</f>
        <v>16037.226966099999</v>
      </c>
      <c r="N35" s="7">
        <f ca="1">SUM(OFFSET($A$19,2,13,14,1))</f>
        <v>4448.9154541999997</v>
      </c>
      <c r="O35" s="7">
        <f ca="1">SUM(OFFSET($A$19,2,14,14,1))</f>
        <v>26007.999609399998</v>
      </c>
      <c r="P35" s="7">
        <f ca="1">SUM(OFFSET($A$19,16,1,1,14))</f>
        <v>213935.00726919997</v>
      </c>
      <c r="Q35" s="7">
        <f ca="1">SUM(OFFSET($A$19,16,1,1,12))</f>
        <v>183478.09220559997</v>
      </c>
    </row>
    <row r="36" spans="1:17" x14ac:dyDescent="0.2">
      <c r="O36" s="12" t="s">
        <v>59</v>
      </c>
      <c r="P36" s="7">
        <f ca="1">SUM(OFFSET($B$21,0,0,12,12))</f>
        <v>182559.55657210003</v>
      </c>
    </row>
    <row r="37" spans="1:17" x14ac:dyDescent="0.2">
      <c r="A37" s="7" t="s">
        <v>91</v>
      </c>
    </row>
    <row r="38" spans="1:17" x14ac:dyDescent="0.2"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7">
        <v>10</v>
      </c>
      <c r="L38" s="7">
        <v>11</v>
      </c>
      <c r="M38" s="7">
        <v>12</v>
      </c>
      <c r="N38" s="7">
        <v>13</v>
      </c>
      <c r="O38" s="7">
        <v>14</v>
      </c>
      <c r="P38" s="7" t="s">
        <v>43</v>
      </c>
      <c r="Q38" s="7" t="s">
        <v>61</v>
      </c>
    </row>
    <row r="39" spans="1:17" x14ac:dyDescent="0.2">
      <c r="A39" s="7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f ca="1">SUM(OFFSET($A$37,2,1,1,14))</f>
        <v>0</v>
      </c>
      <c r="Q39" s="7">
        <f ca="1">SUM(OFFSET($A$37,2,1,1,12))</f>
        <v>0</v>
      </c>
    </row>
    <row r="40" spans="1:17" x14ac:dyDescent="0.2">
      <c r="A40" s="7">
        <v>2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f ca="1">SUM(OFFSET($A$37,3,1,1,14))</f>
        <v>0</v>
      </c>
      <c r="Q40" s="7">
        <f ca="1">SUM(OFFSET($A$37,3,1,1,12))</f>
        <v>0</v>
      </c>
    </row>
    <row r="41" spans="1:17" x14ac:dyDescent="0.2">
      <c r="A41" s="7">
        <v>3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f ca="1">SUM(OFFSET($A$37,4,1,1,14))</f>
        <v>0</v>
      </c>
      <c r="Q41" s="7">
        <f ca="1">SUM(OFFSET($A$37,4,1,1,12))</f>
        <v>0</v>
      </c>
    </row>
    <row r="42" spans="1:17" x14ac:dyDescent="0.2">
      <c r="A42" s="7">
        <v>4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f ca="1">SUM(OFFSET($A$37,5,1,1,14))</f>
        <v>0</v>
      </c>
      <c r="Q42" s="7">
        <f ca="1">SUM(OFFSET($A$37,5,1,1,12))</f>
        <v>0</v>
      </c>
    </row>
    <row r="43" spans="1:17" x14ac:dyDescent="0.2">
      <c r="A43" s="7">
        <v>5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f ca="1">SUM(OFFSET($A$37,6,1,1,14))</f>
        <v>0</v>
      </c>
      <c r="Q43" s="7">
        <f ca="1">SUM(OFFSET($A$37,6,1,1,12))</f>
        <v>0</v>
      </c>
    </row>
    <row r="44" spans="1:17" x14ac:dyDescent="0.2">
      <c r="A44" s="7">
        <v>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f ca="1">SUM(OFFSET($A$37,7,1,1,14))</f>
        <v>0</v>
      </c>
      <c r="Q44" s="7">
        <f ca="1">SUM(OFFSET($A$37,7,1,1,12))</f>
        <v>0</v>
      </c>
    </row>
    <row r="45" spans="1:17" x14ac:dyDescent="0.2">
      <c r="A45" s="7">
        <v>7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f ca="1">SUM(OFFSET($A$37,8,1,1,14))</f>
        <v>0</v>
      </c>
      <c r="Q45" s="7">
        <f ca="1">SUM(OFFSET($A$37,8,1,1,12))</f>
        <v>0</v>
      </c>
    </row>
    <row r="46" spans="1:17" x14ac:dyDescent="0.2">
      <c r="A46" s="7">
        <v>8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f ca="1">SUM(OFFSET($A$37,9,1,1,14))</f>
        <v>0</v>
      </c>
      <c r="Q46" s="7">
        <f ca="1">SUM(OFFSET($A$37,9,1,1,12))</f>
        <v>0</v>
      </c>
    </row>
    <row r="47" spans="1:17" x14ac:dyDescent="0.2">
      <c r="A47" s="7">
        <v>9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f ca="1">SUM(OFFSET($A$37,10,1,1,14))</f>
        <v>0</v>
      </c>
      <c r="Q47" s="7">
        <f ca="1">SUM(OFFSET($A$37,10,1,1,12))</f>
        <v>0</v>
      </c>
    </row>
    <row r="48" spans="1:17" x14ac:dyDescent="0.2">
      <c r="A48" s="7">
        <v>10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f ca="1">SUM(OFFSET($A$37,11,1,1,14))</f>
        <v>0</v>
      </c>
      <c r="Q48" s="7">
        <f ca="1">SUM(OFFSET($A$37,11,1,1,12))</f>
        <v>0</v>
      </c>
    </row>
    <row r="49" spans="1:17" x14ac:dyDescent="0.2">
      <c r="A49" s="7">
        <v>11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f ca="1">SUM(OFFSET($A$37,12,1,1,14))</f>
        <v>0</v>
      </c>
      <c r="Q49" s="7">
        <f ca="1">SUM(OFFSET($A$37,12,1,1,12))</f>
        <v>0</v>
      </c>
    </row>
    <row r="50" spans="1:17" x14ac:dyDescent="0.2">
      <c r="A50" s="7">
        <v>12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f ca="1">SUM(OFFSET($A$37,13,1,1,14))</f>
        <v>0</v>
      </c>
      <c r="Q50" s="7">
        <f ca="1">SUM(OFFSET($A$37,13,1,1,12))</f>
        <v>0</v>
      </c>
    </row>
    <row r="51" spans="1:17" x14ac:dyDescent="0.2">
      <c r="A51" s="7">
        <v>13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f ca="1">SUM(OFFSET($A$37,14,1,1,14))</f>
        <v>0</v>
      </c>
      <c r="Q51" s="7">
        <f ca="1">SUM(OFFSET($A$37,14,1,1,12))</f>
        <v>0</v>
      </c>
    </row>
    <row r="52" spans="1:17" x14ac:dyDescent="0.2">
      <c r="A52" s="7">
        <v>14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f ca="1">SUM(OFFSET($A$37,15,1,1,14))</f>
        <v>0</v>
      </c>
      <c r="Q52" s="7">
        <f ca="1">SUM(OFFSET($A$37,15,1,1,12))</f>
        <v>0</v>
      </c>
    </row>
    <row r="53" spans="1:17" x14ac:dyDescent="0.2">
      <c r="A53" s="7" t="s">
        <v>43</v>
      </c>
      <c r="B53" s="7">
        <f ca="1">SUM(OFFSET($A$37,2,1,14,1))</f>
        <v>0</v>
      </c>
      <c r="C53" s="7">
        <f ca="1">SUM(OFFSET($A$37,2,2,14,1))</f>
        <v>0</v>
      </c>
      <c r="D53" s="7">
        <f ca="1">SUM(OFFSET($A$37,2,3,14,1))</f>
        <v>0</v>
      </c>
      <c r="E53" s="7">
        <f ca="1">SUM(OFFSET($A$37,2,4,14,1))</f>
        <v>0</v>
      </c>
      <c r="F53" s="7">
        <f ca="1">SUM(OFFSET($A$37,2,5,14,1))</f>
        <v>0</v>
      </c>
      <c r="G53" s="7">
        <f ca="1">SUM(OFFSET($A$37,2,6,14,1))</f>
        <v>0</v>
      </c>
      <c r="H53" s="7">
        <f ca="1">SUM(OFFSET($A$37,2,7,14,1))</f>
        <v>0</v>
      </c>
      <c r="I53" s="7">
        <f ca="1">SUM(OFFSET($A$37,2,8,14,1))</f>
        <v>0</v>
      </c>
      <c r="J53" s="7">
        <f ca="1">SUM(OFFSET($A$37,2,9,14,1))</f>
        <v>0</v>
      </c>
      <c r="K53" s="7">
        <f ca="1">SUM(OFFSET($A$37,2,10,14,1))</f>
        <v>0</v>
      </c>
      <c r="L53" s="7">
        <f ca="1">SUM(OFFSET($A$37,2,11,14,1))</f>
        <v>0</v>
      </c>
      <c r="M53" s="7">
        <f ca="1">SUM(OFFSET($A$37,2,12,14,1))</f>
        <v>0</v>
      </c>
      <c r="N53" s="7">
        <f ca="1">SUM(OFFSET($A$37,2,13,14,1))</f>
        <v>0</v>
      </c>
      <c r="O53" s="7">
        <f ca="1">SUM(OFFSET($A$37,2,14,14,1))</f>
        <v>0</v>
      </c>
      <c r="P53" s="7">
        <f ca="1">SUM(OFFSET($A$37,16,1,1,14))</f>
        <v>0</v>
      </c>
      <c r="Q53" s="7">
        <f ca="1">SUM(OFFSET($A$37,16,1,1,12))</f>
        <v>0</v>
      </c>
    </row>
    <row r="54" spans="1:17" x14ac:dyDescent="0.2">
      <c r="O54" s="12" t="s">
        <v>59</v>
      </c>
      <c r="P54" s="7">
        <f ca="1">SUM(OFFSET($B$39,0,0,12,12))</f>
        <v>0</v>
      </c>
    </row>
    <row r="55" spans="1:17" x14ac:dyDescent="0.2">
      <c r="A55" s="7" t="s">
        <v>93</v>
      </c>
    </row>
    <row r="56" spans="1:17" x14ac:dyDescent="0.2">
      <c r="B56" s="7">
        <v>1</v>
      </c>
      <c r="C56" s="7">
        <v>2</v>
      </c>
      <c r="D56" s="7">
        <v>3</v>
      </c>
      <c r="E56" s="7">
        <v>4</v>
      </c>
      <c r="F56" s="7">
        <v>5</v>
      </c>
      <c r="G56" s="7">
        <v>6</v>
      </c>
      <c r="H56" s="7">
        <v>7</v>
      </c>
      <c r="I56" s="7">
        <v>8</v>
      </c>
      <c r="J56" s="7">
        <v>9</v>
      </c>
      <c r="K56" s="7">
        <v>10</v>
      </c>
      <c r="L56" s="7">
        <v>11</v>
      </c>
      <c r="M56" s="7">
        <v>12</v>
      </c>
      <c r="N56" s="7">
        <v>13</v>
      </c>
      <c r="O56" s="7">
        <v>14</v>
      </c>
      <c r="P56" s="7" t="s">
        <v>43</v>
      </c>
      <c r="Q56" s="7" t="s">
        <v>61</v>
      </c>
    </row>
    <row r="57" spans="1:17" x14ac:dyDescent="0.2">
      <c r="A57" s="7">
        <v>1</v>
      </c>
      <c r="B57" s="7">
        <v>463.9864</v>
      </c>
      <c r="C57" s="7">
        <v>374.55459999999999</v>
      </c>
      <c r="D57" s="7">
        <v>230.49700000000001</v>
      </c>
      <c r="E57" s="7">
        <v>46.71904</v>
      </c>
      <c r="F57" s="7">
        <v>8.3006019999999996</v>
      </c>
      <c r="G57" s="7">
        <v>8.3970699999999995E-2</v>
      </c>
      <c r="H57" s="7">
        <v>0.14811879999999999</v>
      </c>
      <c r="I57" s="7">
        <v>3.5146000000000001E-3</v>
      </c>
      <c r="J57" s="7">
        <v>5.3893999999999999E-3</v>
      </c>
      <c r="K57" s="7">
        <v>2.5099999999999998E-4</v>
      </c>
      <c r="L57" s="7">
        <v>6.5470000000000003E-4</v>
      </c>
      <c r="M57" s="7">
        <v>6.4999999999999996E-6</v>
      </c>
      <c r="N57" s="7">
        <v>0</v>
      </c>
      <c r="O57" s="7">
        <v>0</v>
      </c>
      <c r="P57" s="7">
        <f ca="1">SUM(OFFSET($A$55,2,1,1,14))</f>
        <v>1124.2995476999999</v>
      </c>
      <c r="Q57" s="7">
        <f ca="1">SUM(OFFSET($A$55,2,1,1,12))</f>
        <v>1124.2995476999999</v>
      </c>
    </row>
    <row r="58" spans="1:17" x14ac:dyDescent="0.2">
      <c r="A58" s="7">
        <v>2</v>
      </c>
      <c r="B58" s="7">
        <v>310.23809999999997</v>
      </c>
      <c r="C58" s="7">
        <v>1464.0540000000001</v>
      </c>
      <c r="D58" s="7">
        <v>103.76609999999999</v>
      </c>
      <c r="E58" s="7">
        <v>75.519580000000005</v>
      </c>
      <c r="F58" s="7">
        <v>63.853540000000002</v>
      </c>
      <c r="G58" s="7">
        <v>0.94026140000000002</v>
      </c>
      <c r="H58" s="7">
        <v>0.50855070000000002</v>
      </c>
      <c r="I58" s="7">
        <v>4.7976E-3</v>
      </c>
      <c r="J58" s="7">
        <v>2.4145099999999999E-2</v>
      </c>
      <c r="K58" s="7">
        <v>1.0572999999999999E-3</v>
      </c>
      <c r="L58" s="7">
        <v>4.2087000000000001E-3</v>
      </c>
      <c r="M58" s="7">
        <v>1.7479999999999999E-4</v>
      </c>
      <c r="N58" s="7">
        <v>0</v>
      </c>
      <c r="O58" s="7">
        <v>0</v>
      </c>
      <c r="P58" s="7">
        <f ca="1">SUM(OFFSET($A$55,3,1,1,14))</f>
        <v>2018.9145156</v>
      </c>
      <c r="Q58" s="7">
        <f ca="1">SUM(OFFSET($A$55,3,1,1,12))</f>
        <v>2018.9145156</v>
      </c>
    </row>
    <row r="59" spans="1:17" x14ac:dyDescent="0.2">
      <c r="A59" s="7">
        <v>3</v>
      </c>
      <c r="B59" s="7">
        <v>175.1662</v>
      </c>
      <c r="C59" s="7">
        <v>82.062309999999997</v>
      </c>
      <c r="D59" s="7">
        <v>2344.5509999999999</v>
      </c>
      <c r="E59" s="7">
        <v>2025.7349999999999</v>
      </c>
      <c r="F59" s="7">
        <v>86.647239999999996</v>
      </c>
      <c r="G59" s="7">
        <v>1.643338</v>
      </c>
      <c r="H59" s="7">
        <v>16.879850000000001</v>
      </c>
      <c r="I59" s="7">
        <v>0.31645240000000002</v>
      </c>
      <c r="J59" s="7">
        <v>0.31688749999999999</v>
      </c>
      <c r="K59" s="7">
        <v>4.1567100000000003E-2</v>
      </c>
      <c r="L59" s="7">
        <v>1.4859499999999999E-2</v>
      </c>
      <c r="M59" s="7">
        <v>1.0333E-3</v>
      </c>
      <c r="N59" s="7">
        <v>0</v>
      </c>
      <c r="O59" s="7">
        <v>0</v>
      </c>
      <c r="P59" s="7">
        <f ca="1">SUM(OFFSET($A$55,4,1,1,14))</f>
        <v>4733.3757378000009</v>
      </c>
      <c r="Q59" s="7">
        <f ca="1">SUM(OFFSET($A$55,4,1,1,12))</f>
        <v>4733.3757378000009</v>
      </c>
    </row>
    <row r="60" spans="1:17" x14ac:dyDescent="0.2">
      <c r="A60" s="7">
        <v>4</v>
      </c>
      <c r="B60" s="7">
        <v>38.537999999999997</v>
      </c>
      <c r="C60" s="7">
        <v>82.047790000000006</v>
      </c>
      <c r="D60" s="7">
        <v>2212.7730000000001</v>
      </c>
      <c r="E60" s="7">
        <v>8762.0339999999997</v>
      </c>
      <c r="F60" s="7">
        <v>887.89179999999999</v>
      </c>
      <c r="G60" s="7">
        <v>21.285260000000001</v>
      </c>
      <c r="H60" s="7">
        <v>275.20870000000002</v>
      </c>
      <c r="I60" s="7">
        <v>3.2761550000000002</v>
      </c>
      <c r="J60" s="7">
        <v>5.574611</v>
      </c>
      <c r="K60" s="7">
        <v>0.53326510000000005</v>
      </c>
      <c r="L60" s="7">
        <v>0.12508259999999999</v>
      </c>
      <c r="M60" s="7">
        <v>1.8089299999999999E-2</v>
      </c>
      <c r="N60" s="7">
        <v>0</v>
      </c>
      <c r="O60" s="7">
        <v>0</v>
      </c>
      <c r="P60" s="7">
        <f ca="1">SUM(OFFSET($A$55,5,1,1,14))</f>
        <v>12289.305752999999</v>
      </c>
      <c r="Q60" s="7">
        <f ca="1">SUM(OFFSET($A$55,5,1,1,12))</f>
        <v>12289.305752999999</v>
      </c>
    </row>
    <row r="61" spans="1:17" x14ac:dyDescent="0.2">
      <c r="A61" s="7">
        <v>5</v>
      </c>
      <c r="B61" s="7">
        <v>7.7771429999999997</v>
      </c>
      <c r="C61" s="7">
        <v>85.837699999999998</v>
      </c>
      <c r="D61" s="7">
        <v>116.44880000000001</v>
      </c>
      <c r="E61" s="7">
        <v>974.23599999999999</v>
      </c>
      <c r="F61" s="7">
        <v>4195.2079999999996</v>
      </c>
      <c r="G61" s="7">
        <v>432.46440000000001</v>
      </c>
      <c r="H61" s="7">
        <v>103.71680000000001</v>
      </c>
      <c r="I61" s="7">
        <v>5.6702870000000001</v>
      </c>
      <c r="J61" s="7">
        <v>78.938460000000006</v>
      </c>
      <c r="K61" s="7">
        <v>2.929271</v>
      </c>
      <c r="L61" s="7">
        <v>4.2952789999999998</v>
      </c>
      <c r="M61" s="7">
        <v>0.68907649999999998</v>
      </c>
      <c r="N61" s="7">
        <v>0</v>
      </c>
      <c r="O61" s="7">
        <v>0</v>
      </c>
      <c r="P61" s="7">
        <f ca="1">SUM(OFFSET($A$55,6,1,1,14))</f>
        <v>6008.2112164999999</v>
      </c>
      <c r="Q61" s="7">
        <f ca="1">SUM(OFFSET($A$55,6,1,1,12))</f>
        <v>6008.2112164999999</v>
      </c>
    </row>
    <row r="62" spans="1:17" x14ac:dyDescent="0.2">
      <c r="A62" s="7">
        <v>6</v>
      </c>
      <c r="B62" s="7">
        <v>6.0964299999999999E-2</v>
      </c>
      <c r="C62" s="7">
        <v>0.95411559999999995</v>
      </c>
      <c r="D62" s="7">
        <v>1.8360989999999999</v>
      </c>
      <c r="E62" s="7">
        <v>17.796589999999998</v>
      </c>
      <c r="F62" s="7">
        <v>352.07119999999998</v>
      </c>
      <c r="G62" s="7">
        <v>1871.86</v>
      </c>
      <c r="H62" s="7">
        <v>1.14029</v>
      </c>
      <c r="I62" s="7">
        <v>7.7187500000000006E-2</v>
      </c>
      <c r="J62" s="7">
        <v>8.4393670000000007</v>
      </c>
      <c r="K62" s="7">
        <v>0.12704989999999999</v>
      </c>
      <c r="L62" s="7">
        <v>61.576740000000001</v>
      </c>
      <c r="M62" s="7">
        <v>1.0346390000000001</v>
      </c>
      <c r="N62" s="7">
        <v>0</v>
      </c>
      <c r="O62" s="7">
        <v>0</v>
      </c>
      <c r="P62" s="7">
        <f ca="1">SUM(OFFSET($A$55,7,1,1,14))</f>
        <v>2316.9742422999998</v>
      </c>
      <c r="Q62" s="7">
        <f ca="1">SUM(OFFSET($A$55,7,1,1,12))</f>
        <v>2316.9742422999998</v>
      </c>
    </row>
    <row r="63" spans="1:17" x14ac:dyDescent="0.2">
      <c r="A63" s="7">
        <v>7</v>
      </c>
      <c r="B63" s="7">
        <v>0.13700019999999999</v>
      </c>
      <c r="C63" s="7">
        <v>0.64050589999999996</v>
      </c>
      <c r="D63" s="7">
        <v>27.09412</v>
      </c>
      <c r="E63" s="7">
        <v>299.43869999999998</v>
      </c>
      <c r="F63" s="7">
        <v>70.780919999999995</v>
      </c>
      <c r="G63" s="7">
        <v>1.0885100000000001</v>
      </c>
      <c r="H63" s="7">
        <v>1954.2909999999999</v>
      </c>
      <c r="I63" s="7">
        <v>36.217010000000002</v>
      </c>
      <c r="J63" s="7">
        <v>40.179850000000002</v>
      </c>
      <c r="K63" s="7">
        <v>8.8698940000000004</v>
      </c>
      <c r="L63" s="7">
        <v>1.3937400000000001E-2</v>
      </c>
      <c r="M63" s="7">
        <v>1.50175E-2</v>
      </c>
      <c r="N63" s="7">
        <v>0</v>
      </c>
      <c r="O63" s="7">
        <v>0</v>
      </c>
      <c r="P63" s="7">
        <f ca="1">SUM(OFFSET($A$55,8,1,1,14))</f>
        <v>2438.7664649999997</v>
      </c>
      <c r="Q63" s="7">
        <f ca="1">SUM(OFFSET($A$55,8,1,1,12))</f>
        <v>2438.7664649999997</v>
      </c>
    </row>
    <row r="64" spans="1:17" x14ac:dyDescent="0.2">
      <c r="A64" s="7">
        <v>8</v>
      </c>
      <c r="B64" s="7">
        <v>3.9613000000000001E-3</v>
      </c>
      <c r="C64" s="7">
        <v>7.2886000000000001E-3</v>
      </c>
      <c r="D64" s="7">
        <v>0.7476391</v>
      </c>
      <c r="E64" s="7">
        <v>4.4722520000000001</v>
      </c>
      <c r="F64" s="7">
        <v>5.4169179999999999</v>
      </c>
      <c r="G64" s="7">
        <v>8.2935499999999995E-2</v>
      </c>
      <c r="H64" s="7">
        <v>46.587000000000003</v>
      </c>
      <c r="I64" s="7">
        <v>104.5247</v>
      </c>
      <c r="J64" s="7">
        <v>20.814350000000001</v>
      </c>
      <c r="K64" s="7">
        <v>1.1574469999999999</v>
      </c>
      <c r="L64" s="7">
        <v>2.3262000000000001E-3</v>
      </c>
      <c r="M64" s="7">
        <v>7.3736800000000005E-2</v>
      </c>
      <c r="N64" s="7">
        <v>0</v>
      </c>
      <c r="O64" s="7">
        <v>9.9999999999999995E-8</v>
      </c>
      <c r="P64" s="7">
        <f ca="1">SUM(OFFSET($A$55,9,1,1,14))</f>
        <v>183.89055459999997</v>
      </c>
      <c r="Q64" s="7">
        <f ca="1">SUM(OFFSET($A$55,9,1,1,12))</f>
        <v>183.89055449999998</v>
      </c>
    </row>
    <row r="65" spans="1:17" x14ac:dyDescent="0.2">
      <c r="A65" s="7">
        <v>9</v>
      </c>
      <c r="B65" s="7">
        <v>4.4927999999999999E-3</v>
      </c>
      <c r="C65" s="7">
        <v>3.2363500000000003E-2</v>
      </c>
      <c r="D65" s="7">
        <v>0.53337179999999995</v>
      </c>
      <c r="E65" s="7">
        <v>6.4044359999999996</v>
      </c>
      <c r="F65" s="7">
        <v>68.927499999999995</v>
      </c>
      <c r="G65" s="7">
        <v>9.3949820000000006</v>
      </c>
      <c r="H65" s="7">
        <v>36.882469999999998</v>
      </c>
      <c r="I65" s="7">
        <v>19.662130000000001</v>
      </c>
      <c r="J65" s="7">
        <v>3691.77</v>
      </c>
      <c r="K65" s="7">
        <v>121.9671</v>
      </c>
      <c r="L65" s="7">
        <v>1.485822</v>
      </c>
      <c r="M65" s="7">
        <v>213.9819</v>
      </c>
      <c r="N65" s="7">
        <v>2.9E-5</v>
      </c>
      <c r="O65" s="7">
        <v>6.1754499999999997E-2</v>
      </c>
      <c r="P65" s="7">
        <f ca="1">SUM(OFFSET($A$55,10,1,1,14))</f>
        <v>4171.108351599999</v>
      </c>
      <c r="Q65" s="7">
        <f ca="1">SUM(OFFSET($A$55,10,1,1,12))</f>
        <v>4171.0465680999996</v>
      </c>
    </row>
    <row r="66" spans="1:17" x14ac:dyDescent="0.2">
      <c r="A66" s="7">
        <v>10</v>
      </c>
      <c r="B66" s="7">
        <v>2.7740000000000002E-4</v>
      </c>
      <c r="C66" s="7">
        <v>1.7381E-3</v>
      </c>
      <c r="D66" s="7">
        <v>8.5843100000000006E-2</v>
      </c>
      <c r="E66" s="7">
        <v>0.73876810000000004</v>
      </c>
      <c r="F66" s="7">
        <v>2.9971390000000002</v>
      </c>
      <c r="G66" s="7">
        <v>0.14859530000000001</v>
      </c>
      <c r="H66" s="7">
        <v>10.56264</v>
      </c>
      <c r="I66" s="7">
        <v>1.1214759999999999</v>
      </c>
      <c r="J66" s="7">
        <v>125.333</v>
      </c>
      <c r="K66" s="7">
        <v>784.68830000000003</v>
      </c>
      <c r="L66" s="7">
        <v>2.5677999999999999E-3</v>
      </c>
      <c r="M66" s="7">
        <v>31.65624</v>
      </c>
      <c r="N66" s="7">
        <v>0</v>
      </c>
      <c r="O66" s="7">
        <v>5.3629999999999997E-4</v>
      </c>
      <c r="P66" s="7">
        <f ca="1">SUM(OFFSET($A$55,11,1,1,14))</f>
        <v>957.33712109999999</v>
      </c>
      <c r="Q66" s="7">
        <f ca="1">SUM(OFFSET($A$55,11,1,1,12))</f>
        <v>957.33658479999997</v>
      </c>
    </row>
    <row r="67" spans="1:17" x14ac:dyDescent="0.2">
      <c r="A67" s="7">
        <v>11</v>
      </c>
      <c r="B67" s="7">
        <v>5.9630000000000002E-4</v>
      </c>
      <c r="C67" s="7">
        <v>5.3280999999999997E-3</v>
      </c>
      <c r="D67" s="7">
        <v>2.3528299999999999E-2</v>
      </c>
      <c r="E67" s="7">
        <v>0.1309823</v>
      </c>
      <c r="F67" s="7">
        <v>3.990974</v>
      </c>
      <c r="G67" s="7">
        <v>54.31718</v>
      </c>
      <c r="H67" s="7">
        <v>1.6283599999999999E-2</v>
      </c>
      <c r="I67" s="7">
        <v>2.5175000000000002E-3</v>
      </c>
      <c r="J67" s="7">
        <v>1.188537</v>
      </c>
      <c r="K67" s="7">
        <v>1.5041E-3</v>
      </c>
      <c r="L67" s="7">
        <v>319.96749999999997</v>
      </c>
      <c r="M67" s="7">
        <v>5.911016</v>
      </c>
      <c r="N67" s="7">
        <v>0</v>
      </c>
      <c r="O67" s="7">
        <v>3.3179999999999999E-4</v>
      </c>
      <c r="P67" s="7">
        <f ca="1">SUM(OFFSET($A$55,12,1,1,14))</f>
        <v>385.55627900000002</v>
      </c>
      <c r="Q67" s="7">
        <f ca="1">SUM(OFFSET($A$55,12,1,1,12))</f>
        <v>385.55594719999999</v>
      </c>
    </row>
    <row r="68" spans="1:17" x14ac:dyDescent="0.2">
      <c r="A68" s="7">
        <v>12</v>
      </c>
      <c r="B68" s="7">
        <v>2.2799999999999999E-5</v>
      </c>
      <c r="C68" s="7">
        <v>8.3699999999999996E-4</v>
      </c>
      <c r="D68" s="7">
        <v>2.6684E-3</v>
      </c>
      <c r="E68" s="7">
        <v>2.17743E-2</v>
      </c>
      <c r="F68" s="7">
        <v>0.71743440000000003</v>
      </c>
      <c r="G68" s="7">
        <v>1.4984360000000001</v>
      </c>
      <c r="H68" s="7">
        <v>1.52064E-2</v>
      </c>
      <c r="I68" s="7">
        <v>5.0687500000000003E-2</v>
      </c>
      <c r="J68" s="7">
        <v>212.08619999999999</v>
      </c>
      <c r="K68" s="7">
        <v>28.448609999999999</v>
      </c>
      <c r="L68" s="7">
        <v>7.6067590000000003</v>
      </c>
      <c r="M68" s="7">
        <v>572.19439999999997</v>
      </c>
      <c r="N68" s="7">
        <v>8.0905999999999999E-3</v>
      </c>
      <c r="O68" s="7">
        <v>6.8843690000000004</v>
      </c>
      <c r="P68" s="7">
        <f ca="1">SUM(OFFSET($A$55,13,1,1,14))</f>
        <v>829.53549539999995</v>
      </c>
      <c r="Q68" s="7">
        <f ca="1">SUM(OFFSET($A$55,13,1,1,12))</f>
        <v>822.64303580000001</v>
      </c>
    </row>
    <row r="69" spans="1:17" x14ac:dyDescent="0.2">
      <c r="A69" s="7">
        <v>13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3.4000000000000001E-6</v>
      </c>
      <c r="K69" s="7">
        <v>0</v>
      </c>
      <c r="L69" s="7">
        <v>0</v>
      </c>
      <c r="M69" s="7">
        <v>6.6204999999999996E-3</v>
      </c>
      <c r="N69" s="7">
        <v>128.70330000000001</v>
      </c>
      <c r="O69" s="7">
        <v>29.47015</v>
      </c>
      <c r="P69" s="7">
        <f ca="1">SUM(OFFSET($A$55,14,1,1,14))</f>
        <v>158.1800739</v>
      </c>
      <c r="Q69" s="7">
        <f ca="1">SUM(OFFSET($A$55,14,1,1,12))</f>
        <v>6.6238999999999994E-3</v>
      </c>
    </row>
    <row r="70" spans="1:17" x14ac:dyDescent="0.2">
      <c r="A70" s="7">
        <v>14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3.2057799999999997E-2</v>
      </c>
      <c r="K70" s="7">
        <v>0</v>
      </c>
      <c r="L70" s="7">
        <v>1.49E-5</v>
      </c>
      <c r="M70" s="7">
        <v>6.1223080000000003</v>
      </c>
      <c r="N70" s="7">
        <v>29.766279999999998</v>
      </c>
      <c r="O70" s="7">
        <v>986.80930000000001</v>
      </c>
      <c r="P70" s="7">
        <f ca="1">SUM(OFFSET($A$55,15,1,1,14))</f>
        <v>1022.7299607</v>
      </c>
      <c r="Q70" s="7">
        <f ca="1">SUM(OFFSET($A$55,15,1,1,12))</f>
        <v>6.1543806999999999</v>
      </c>
    </row>
    <row r="71" spans="1:17" x14ac:dyDescent="0.2">
      <c r="A71" s="7" t="s">
        <v>43</v>
      </c>
      <c r="B71" s="7">
        <f ca="1">SUM(OFFSET($A$55,2,1,14,1))</f>
        <v>995.91315810000003</v>
      </c>
      <c r="C71" s="7">
        <f ca="1">SUM(OFFSET($A$55,2,2,14,1))</f>
        <v>2090.1985767999995</v>
      </c>
      <c r="D71" s="7">
        <f ca="1">SUM(OFFSET($A$55,2,3,14,1))</f>
        <v>5038.3591697000011</v>
      </c>
      <c r="E71" s="7">
        <f ca="1">SUM(OFFSET($A$55,2,4,14,1))</f>
        <v>12213.247122700001</v>
      </c>
      <c r="F71" s="7">
        <f ca="1">SUM(OFFSET($A$55,2,5,14,1))</f>
        <v>5746.8032673999996</v>
      </c>
      <c r="G71" s="7">
        <f ca="1">SUM(OFFSET($A$55,2,6,14,1))</f>
        <v>2394.8078688999999</v>
      </c>
      <c r="H71" s="7">
        <f ca="1">SUM(OFFSET($A$55,2,7,14,1))</f>
        <v>2445.9569094999997</v>
      </c>
      <c r="I71" s="7">
        <f ca="1">SUM(OFFSET($A$55,2,8,14,1))</f>
        <v>170.9269151</v>
      </c>
      <c r="J71" s="7">
        <f ca="1">SUM(OFFSET($A$55,2,9,14,1))</f>
        <v>4184.7028582000003</v>
      </c>
      <c r="K71" s="7">
        <f ca="1">SUM(OFFSET($A$55,2,10,14,1))</f>
        <v>948.76531650000015</v>
      </c>
      <c r="L71" s="7">
        <f ca="1">SUM(OFFSET($A$55,2,11,14,1))</f>
        <v>395.09575179999996</v>
      </c>
      <c r="M71" s="7">
        <f ca="1">SUM(OFFSET($A$55,2,12,14,1))</f>
        <v>831.70425820000003</v>
      </c>
      <c r="N71" s="7">
        <f ca="1">SUM(OFFSET($A$55,2,13,14,1))</f>
        <v>158.47769959999999</v>
      </c>
      <c r="O71" s="7">
        <f ca="1">SUM(OFFSET($A$55,2,14,14,1))</f>
        <v>1023.2264417</v>
      </c>
      <c r="P71" s="7">
        <f ca="1">SUM(OFFSET($A$55,16,1,1,14))</f>
        <v>38638.185314199996</v>
      </c>
      <c r="Q71" s="7">
        <f ca="1">SUM(OFFSET($A$55,16,1,1,12))</f>
        <v>37456.481172899999</v>
      </c>
    </row>
    <row r="72" spans="1:17" x14ac:dyDescent="0.2">
      <c r="O72" s="12" t="s">
        <v>59</v>
      </c>
      <c r="P72" s="7">
        <f ca="1">SUM(OFFSET($B$57,0,0,12,12))</f>
        <v>37450.320168300001</v>
      </c>
    </row>
    <row r="73" spans="1:17" x14ac:dyDescent="0.2">
      <c r="A73" s="7" t="s">
        <v>95</v>
      </c>
    </row>
    <row r="74" spans="1:17" x14ac:dyDescent="0.2">
      <c r="B74" s="7">
        <v>1</v>
      </c>
      <c r="C74" s="7">
        <v>2</v>
      </c>
      <c r="D74" s="7">
        <v>3</v>
      </c>
      <c r="E74" s="7">
        <v>4</v>
      </c>
      <c r="F74" s="7">
        <v>5</v>
      </c>
      <c r="G74" s="7">
        <v>6</v>
      </c>
      <c r="H74" s="7">
        <v>7</v>
      </c>
      <c r="I74" s="7">
        <v>8</v>
      </c>
      <c r="J74" s="7">
        <v>9</v>
      </c>
      <c r="K74" s="7">
        <v>10</v>
      </c>
      <c r="L74" s="7">
        <v>11</v>
      </c>
      <c r="M74" s="7">
        <v>12</v>
      </c>
      <c r="N74" s="7">
        <v>13</v>
      </c>
      <c r="O74" s="7">
        <v>14</v>
      </c>
      <c r="P74" s="7" t="s">
        <v>43</v>
      </c>
      <c r="Q74" s="7" t="s">
        <v>61</v>
      </c>
    </row>
    <row r="75" spans="1:17" x14ac:dyDescent="0.2">
      <c r="A75" s="7">
        <v>1</v>
      </c>
      <c r="B75" s="7">
        <v>0</v>
      </c>
      <c r="C75" s="7">
        <v>8.0564909999999994</v>
      </c>
      <c r="D75" s="7">
        <v>91.561710000000005</v>
      </c>
      <c r="E75" s="7">
        <v>43.983409999999999</v>
      </c>
      <c r="F75" s="7">
        <v>22.672789999999999</v>
      </c>
      <c r="G75" s="7">
        <v>0.35049789999999997</v>
      </c>
      <c r="H75" s="7">
        <v>0.81891939999999996</v>
      </c>
      <c r="I75" s="7">
        <v>1.6300100000000001E-2</v>
      </c>
      <c r="J75" s="7">
        <v>8.96647E-2</v>
      </c>
      <c r="K75" s="7">
        <v>1.3943E-3</v>
      </c>
      <c r="L75" s="7">
        <v>2.0217999999999998E-3</v>
      </c>
      <c r="M75" s="7">
        <v>3.7110000000000002E-4</v>
      </c>
      <c r="N75" s="7">
        <v>0</v>
      </c>
      <c r="O75" s="7">
        <v>0</v>
      </c>
      <c r="P75" s="7">
        <f ca="1">SUM(OFFSET($A$73,2,1,1,14))</f>
        <v>167.55357029999993</v>
      </c>
      <c r="Q75" s="7">
        <f ca="1">SUM(OFFSET($A$73,2,1,1,12))</f>
        <v>167.55357029999993</v>
      </c>
    </row>
    <row r="76" spans="1:17" x14ac:dyDescent="0.2">
      <c r="A76" s="7">
        <v>2</v>
      </c>
      <c r="B76" s="7">
        <v>0</v>
      </c>
      <c r="C76" s="7">
        <v>0</v>
      </c>
      <c r="D76" s="7">
        <v>315.2765</v>
      </c>
      <c r="E76" s="7">
        <v>84.291229999999999</v>
      </c>
      <c r="F76" s="7">
        <v>145.62540000000001</v>
      </c>
      <c r="G76" s="7">
        <v>5.4594639999999997</v>
      </c>
      <c r="H76" s="7">
        <v>3.3322080000000001</v>
      </c>
      <c r="I76" s="7">
        <v>3.1936399999999997E-2</v>
      </c>
      <c r="J76" s="7">
        <v>0.73760499999999996</v>
      </c>
      <c r="K76" s="7">
        <v>9.2055999999999995E-3</v>
      </c>
      <c r="L76" s="7">
        <v>1.6991599999999999E-2</v>
      </c>
      <c r="M76" s="7">
        <v>6.2963999999999997E-3</v>
      </c>
      <c r="N76" s="7">
        <v>0</v>
      </c>
      <c r="O76" s="7">
        <v>0</v>
      </c>
      <c r="P76" s="7">
        <f ca="1">SUM(OFFSET($A$73,3,1,1,14))</f>
        <v>554.78683699999999</v>
      </c>
      <c r="Q76" s="7">
        <f ca="1">SUM(OFFSET($A$73,3,1,1,12))</f>
        <v>554.78683699999999</v>
      </c>
    </row>
    <row r="77" spans="1:17" x14ac:dyDescent="0.2">
      <c r="A77" s="7">
        <v>3</v>
      </c>
      <c r="B77" s="7">
        <v>43.096530000000001</v>
      </c>
      <c r="C77" s="7">
        <v>200.72450000000001</v>
      </c>
      <c r="D77" s="7">
        <v>999.52430000000004</v>
      </c>
      <c r="E77" s="7">
        <v>2013.2570000000001</v>
      </c>
      <c r="F77" s="7">
        <v>437.38119999999998</v>
      </c>
      <c r="G77" s="7">
        <v>12.5541</v>
      </c>
      <c r="H77" s="7">
        <v>183.54839999999999</v>
      </c>
      <c r="I77" s="7">
        <v>3.2137380000000002</v>
      </c>
      <c r="J77" s="7">
        <v>8.9453469999999999</v>
      </c>
      <c r="K77" s="7">
        <v>0.51056080000000004</v>
      </c>
      <c r="L77" s="7">
        <v>0.1077617</v>
      </c>
      <c r="M77" s="7">
        <v>1.9505000000000002E-2</v>
      </c>
      <c r="N77" s="7">
        <v>0</v>
      </c>
      <c r="O77" s="7">
        <v>6.9E-6</v>
      </c>
      <c r="P77" s="7">
        <f ca="1">SUM(OFFSET($A$73,4,1,1,14))</f>
        <v>3902.8829493999997</v>
      </c>
      <c r="Q77" s="7">
        <f ca="1">SUM(OFFSET($A$73,4,1,1,12))</f>
        <v>3902.8829424999999</v>
      </c>
    </row>
    <row r="78" spans="1:17" x14ac:dyDescent="0.2">
      <c r="A78" s="7">
        <v>4</v>
      </c>
      <c r="B78" s="7">
        <v>47.064480000000003</v>
      </c>
      <c r="C78" s="7">
        <v>68.57535</v>
      </c>
      <c r="D78" s="7">
        <v>2573.3200000000002</v>
      </c>
      <c r="E78" s="7">
        <v>3150.53</v>
      </c>
      <c r="F78" s="7">
        <v>1212.3499999999999</v>
      </c>
      <c r="G78" s="7">
        <v>49.769559999999998</v>
      </c>
      <c r="H78" s="7">
        <v>434.13400000000001</v>
      </c>
      <c r="I78" s="7">
        <v>5.3970570000000002</v>
      </c>
      <c r="J78" s="7">
        <v>18.925280000000001</v>
      </c>
      <c r="K78" s="7">
        <v>1.2152579999999999</v>
      </c>
      <c r="L78" s="7">
        <v>0.1641157</v>
      </c>
      <c r="M78" s="7">
        <v>3.4746800000000001E-2</v>
      </c>
      <c r="N78" s="7">
        <v>0</v>
      </c>
      <c r="O78" s="7">
        <v>3.7000000000000002E-6</v>
      </c>
      <c r="P78" s="7">
        <f ca="1">SUM(OFFSET($A$73,5,1,1,14))</f>
        <v>7561.4798512000016</v>
      </c>
      <c r="Q78" s="7">
        <f ca="1">SUM(OFFSET($A$73,5,1,1,12))</f>
        <v>7561.4798475000016</v>
      </c>
    </row>
    <row r="79" spans="1:17" x14ac:dyDescent="0.2">
      <c r="A79" s="7">
        <v>5</v>
      </c>
      <c r="B79" s="7">
        <v>23.638649999999998</v>
      </c>
      <c r="C79" s="7">
        <v>117.3616</v>
      </c>
      <c r="D79" s="7">
        <v>568.70780000000002</v>
      </c>
      <c r="E79" s="7">
        <v>1043.2239999999999</v>
      </c>
      <c r="F79" s="7">
        <v>2937.4859999999999</v>
      </c>
      <c r="G79" s="7">
        <v>623.53539999999998</v>
      </c>
      <c r="H79" s="7">
        <v>135.3623</v>
      </c>
      <c r="I79" s="7">
        <v>7.5774379999999999</v>
      </c>
      <c r="J79" s="7">
        <v>507.37459999999999</v>
      </c>
      <c r="K79" s="7">
        <v>16.075620000000001</v>
      </c>
      <c r="L79" s="7">
        <v>7.2099299999999999</v>
      </c>
      <c r="M79" s="7">
        <v>2.055539</v>
      </c>
      <c r="N79" s="7">
        <v>0</v>
      </c>
      <c r="O79" s="7">
        <v>2.6180999999999999E-3</v>
      </c>
      <c r="P79" s="7">
        <f ca="1">SUM(OFFSET($A$73,6,1,1,14))</f>
        <v>5989.6114951</v>
      </c>
      <c r="Q79" s="7">
        <f ca="1">SUM(OFFSET($A$73,6,1,1,12))</f>
        <v>5989.6088769999997</v>
      </c>
    </row>
    <row r="80" spans="1:17" x14ac:dyDescent="0.2">
      <c r="A80" s="7">
        <v>6</v>
      </c>
      <c r="B80" s="7">
        <v>0.40902090000000002</v>
      </c>
      <c r="C80" s="7">
        <v>5.6467700000000001</v>
      </c>
      <c r="D80" s="7">
        <v>21.344619999999999</v>
      </c>
      <c r="E80" s="7">
        <v>61.366140000000001</v>
      </c>
      <c r="F80" s="7">
        <v>686.78440000000001</v>
      </c>
      <c r="G80" s="7">
        <v>194.73349999999999</v>
      </c>
      <c r="H80" s="7">
        <v>4.5698689999999997</v>
      </c>
      <c r="I80" s="7">
        <v>0.28864040000000002</v>
      </c>
      <c r="J80" s="7">
        <v>95.57159</v>
      </c>
      <c r="K80" s="7">
        <v>1.2355579999999999</v>
      </c>
      <c r="L80" s="7">
        <v>0.37884380000000001</v>
      </c>
      <c r="M80" s="7">
        <v>1.7604219999999999</v>
      </c>
      <c r="N80" s="7">
        <v>0</v>
      </c>
      <c r="O80" s="7">
        <v>1.4002999999999999E-3</v>
      </c>
      <c r="P80" s="7">
        <f ca="1">SUM(OFFSET($A$73,7,1,1,14))</f>
        <v>1074.0907743999999</v>
      </c>
      <c r="Q80" s="7">
        <f ca="1">SUM(OFFSET($A$73,7,1,1,12))</f>
        <v>1074.0893741</v>
      </c>
    </row>
    <row r="81" spans="1:17" x14ac:dyDescent="0.2">
      <c r="A81" s="7">
        <v>7</v>
      </c>
      <c r="B81" s="7">
        <v>0.86506300000000003</v>
      </c>
      <c r="C81" s="7">
        <v>3.0151219999999999</v>
      </c>
      <c r="D81" s="7">
        <v>247.9922</v>
      </c>
      <c r="E81" s="7">
        <v>481.14760000000001</v>
      </c>
      <c r="F81" s="7">
        <v>155.84379999999999</v>
      </c>
      <c r="G81" s="7">
        <v>4.5564679999999997</v>
      </c>
      <c r="H81" s="7">
        <v>246.37389999999999</v>
      </c>
      <c r="I81" s="7">
        <v>14.6183</v>
      </c>
      <c r="J81" s="7">
        <v>40.716070000000002</v>
      </c>
      <c r="K81" s="7">
        <v>9.6920289999999998</v>
      </c>
      <c r="L81" s="7">
        <v>3.62911E-2</v>
      </c>
      <c r="M81" s="7">
        <v>2.82834E-2</v>
      </c>
      <c r="N81" s="7">
        <v>0</v>
      </c>
      <c r="O81" s="7">
        <v>0</v>
      </c>
      <c r="P81" s="7">
        <f ca="1">SUM(OFFSET($A$73,8,1,1,14))</f>
        <v>1204.8851265000001</v>
      </c>
      <c r="Q81" s="7">
        <f ca="1">SUM(OFFSET($A$73,8,1,1,12))</f>
        <v>1204.8851265000001</v>
      </c>
    </row>
    <row r="82" spans="1:17" x14ac:dyDescent="0.2">
      <c r="A82" s="7">
        <v>8</v>
      </c>
      <c r="B82" s="7">
        <v>2.1173899999999999E-2</v>
      </c>
      <c r="C82" s="7">
        <v>3.3183600000000001E-2</v>
      </c>
      <c r="D82" s="7">
        <v>7.0715969999999997</v>
      </c>
      <c r="E82" s="7">
        <v>7.0596019999999999</v>
      </c>
      <c r="F82" s="7">
        <v>9.5915949999999999</v>
      </c>
      <c r="G82" s="7">
        <v>0.305728</v>
      </c>
      <c r="H82" s="7">
        <v>13.049989999999999</v>
      </c>
      <c r="I82" s="7">
        <v>6.9767200000000001E-2</v>
      </c>
      <c r="J82" s="7">
        <v>6.5671039999999996</v>
      </c>
      <c r="K82" s="7">
        <v>0.80590289999999998</v>
      </c>
      <c r="L82" s="7">
        <v>5.2299E-3</v>
      </c>
      <c r="M82" s="7">
        <v>4.2062099999999998E-2</v>
      </c>
      <c r="N82" s="7">
        <v>0</v>
      </c>
      <c r="O82" s="7">
        <v>1.7E-6</v>
      </c>
      <c r="P82" s="7">
        <f ca="1">SUM(OFFSET($A$73,9,1,1,14))</f>
        <v>44.622937300000004</v>
      </c>
      <c r="Q82" s="7">
        <f ca="1">SUM(OFFSET($A$73,9,1,1,12))</f>
        <v>44.622935600000005</v>
      </c>
    </row>
    <row r="83" spans="1:17" x14ac:dyDescent="0.2">
      <c r="A83" s="7">
        <v>9</v>
      </c>
      <c r="B83" s="7">
        <v>0.1101679</v>
      </c>
      <c r="C83" s="7">
        <v>0.78197850000000002</v>
      </c>
      <c r="D83" s="7">
        <v>15.35299</v>
      </c>
      <c r="E83" s="7">
        <v>23.981719999999999</v>
      </c>
      <c r="F83" s="7">
        <v>593.56820000000005</v>
      </c>
      <c r="G83" s="7">
        <v>105.8916</v>
      </c>
      <c r="H83" s="7">
        <v>67.507440000000003</v>
      </c>
      <c r="I83" s="7">
        <v>9.5669579999999996</v>
      </c>
      <c r="J83" s="7">
        <v>482.5609</v>
      </c>
      <c r="K83" s="7">
        <v>6.2510380000000003</v>
      </c>
      <c r="L83" s="7">
        <v>0.42499100000000001</v>
      </c>
      <c r="M83" s="7">
        <v>3.9676450000000001</v>
      </c>
      <c r="N83" s="7">
        <v>0</v>
      </c>
      <c r="O83" s="7">
        <v>3.7688000000000001E-3</v>
      </c>
      <c r="P83" s="7">
        <f ca="1">SUM(OFFSET($A$73,10,1,1,14))</f>
        <v>1309.9693972000002</v>
      </c>
      <c r="Q83" s="7">
        <f ca="1">SUM(OFFSET($A$73,10,1,1,12))</f>
        <v>1309.9656284000002</v>
      </c>
    </row>
    <row r="84" spans="1:17" x14ac:dyDescent="0.2">
      <c r="A84" s="7">
        <v>10</v>
      </c>
      <c r="B84" s="7">
        <v>1.761E-3</v>
      </c>
      <c r="C84" s="7">
        <v>9.9556000000000002E-3</v>
      </c>
      <c r="D84" s="7">
        <v>0.92926560000000002</v>
      </c>
      <c r="E84" s="7">
        <v>1.3671599999999999</v>
      </c>
      <c r="F84" s="7">
        <v>20.75967</v>
      </c>
      <c r="G84" s="7">
        <v>1.491047</v>
      </c>
      <c r="H84" s="7">
        <v>11.14453</v>
      </c>
      <c r="I84" s="7">
        <v>0.99179340000000005</v>
      </c>
      <c r="J84" s="7">
        <v>8.3146199999999997</v>
      </c>
      <c r="K84" s="7">
        <v>0</v>
      </c>
      <c r="L84" s="7">
        <v>1.7535999999999999E-3</v>
      </c>
      <c r="M84" s="7">
        <v>0</v>
      </c>
      <c r="N84" s="7">
        <v>0</v>
      </c>
      <c r="O84" s="7">
        <v>0</v>
      </c>
      <c r="P84" s="7">
        <f ca="1">SUM(OFFSET($A$73,11,1,1,14))</f>
        <v>45.011556200000001</v>
      </c>
      <c r="Q84" s="7">
        <f ca="1">SUM(OFFSET($A$73,11,1,1,12))</f>
        <v>45.011556200000001</v>
      </c>
    </row>
    <row r="85" spans="1:17" x14ac:dyDescent="0.2">
      <c r="A85" s="7">
        <v>11</v>
      </c>
      <c r="B85" s="7">
        <v>2.4569000000000001E-3</v>
      </c>
      <c r="C85" s="7">
        <v>1.8546099999999999E-2</v>
      </c>
      <c r="D85" s="7">
        <v>0.23953169999999999</v>
      </c>
      <c r="E85" s="7">
        <v>0.2367292</v>
      </c>
      <c r="F85" s="7">
        <v>7.6520390000000003</v>
      </c>
      <c r="G85" s="7">
        <v>67.556619999999995</v>
      </c>
      <c r="H85" s="7">
        <v>3.3446900000000002E-2</v>
      </c>
      <c r="I85" s="7">
        <v>3.5324000000000002E-3</v>
      </c>
      <c r="J85" s="7">
        <v>0.77886739999999999</v>
      </c>
      <c r="K85" s="7">
        <v>3.5871000000000002E-3</v>
      </c>
      <c r="L85" s="7">
        <v>7.1604140000000003</v>
      </c>
      <c r="M85" s="7">
        <v>0.17237230000000001</v>
      </c>
      <c r="N85" s="7">
        <v>0</v>
      </c>
      <c r="O85" s="7">
        <v>0</v>
      </c>
      <c r="P85" s="7">
        <f ca="1">SUM(OFFSET($A$73,12,1,1,14))</f>
        <v>83.858142999999998</v>
      </c>
      <c r="Q85" s="7">
        <f ca="1">SUM(OFFSET($A$73,12,1,1,12))</f>
        <v>83.858142999999998</v>
      </c>
    </row>
    <row r="86" spans="1:17" x14ac:dyDescent="0.2">
      <c r="A86" s="7">
        <v>12</v>
      </c>
      <c r="B86" s="7">
        <v>3.9839999999999998E-4</v>
      </c>
      <c r="C86" s="7">
        <v>6.1878000000000002E-3</v>
      </c>
      <c r="D86" s="7">
        <v>3.8739900000000001E-2</v>
      </c>
      <c r="E86" s="7">
        <v>5.0092999999999999E-2</v>
      </c>
      <c r="F86" s="7">
        <v>2.3958849999999998</v>
      </c>
      <c r="G86" s="7">
        <v>2.5034200000000002</v>
      </c>
      <c r="H86" s="7">
        <v>2.7051700000000001E-2</v>
      </c>
      <c r="I86" s="7">
        <v>4.9920199999999998E-2</v>
      </c>
      <c r="J86" s="7">
        <v>3.3543759999999998</v>
      </c>
      <c r="K86" s="7">
        <v>0</v>
      </c>
      <c r="L86" s="7">
        <v>1.786E-4</v>
      </c>
      <c r="M86" s="7">
        <v>0</v>
      </c>
      <c r="N86" s="7">
        <v>0</v>
      </c>
      <c r="O86" s="7">
        <v>0</v>
      </c>
      <c r="P86" s="7">
        <f ca="1">SUM(OFFSET($A$73,13,1,1,14))</f>
        <v>8.4262505999999995</v>
      </c>
      <c r="Q86" s="7">
        <f ca="1">SUM(OFFSET($A$73,13,1,1,12))</f>
        <v>8.4262505999999995</v>
      </c>
    </row>
    <row r="87" spans="1:17" x14ac:dyDescent="0.2">
      <c r="A87" s="7">
        <v>13</v>
      </c>
      <c r="B87" s="7">
        <v>5.9999999999999997E-7</v>
      </c>
      <c r="C87" s="7">
        <v>4.6999999999999999E-6</v>
      </c>
      <c r="D87" s="7">
        <v>6.7399999999999998E-5</v>
      </c>
      <c r="E87" s="7">
        <v>4.8300000000000002E-5</v>
      </c>
      <c r="F87" s="7">
        <v>2.2003999999999999E-3</v>
      </c>
      <c r="G87" s="7">
        <v>4.4977200000000002E-2</v>
      </c>
      <c r="H87" s="7">
        <v>2.3999999999999999E-6</v>
      </c>
      <c r="I87" s="7">
        <v>3.9999999999999998E-7</v>
      </c>
      <c r="J87" s="7">
        <v>2.8506999999999998E-3</v>
      </c>
      <c r="K87" s="7">
        <v>0</v>
      </c>
      <c r="L87" s="7">
        <v>0.53628019999999998</v>
      </c>
      <c r="M87" s="7">
        <v>2.30146E-2</v>
      </c>
      <c r="N87" s="7">
        <v>0</v>
      </c>
      <c r="O87" s="7">
        <v>0</v>
      </c>
      <c r="P87" s="7">
        <f ca="1">SUM(OFFSET($A$73,14,1,1,14))</f>
        <v>0.60944690000000001</v>
      </c>
      <c r="Q87" s="7">
        <f ca="1">SUM(OFFSET($A$73,14,1,1,12))</f>
        <v>0.60944690000000001</v>
      </c>
    </row>
    <row r="88" spans="1:17" x14ac:dyDescent="0.2">
      <c r="A88" s="7">
        <v>14</v>
      </c>
      <c r="B88" s="7">
        <v>9.9999999999999995E-8</v>
      </c>
      <c r="C88" s="7">
        <v>1.5E-6</v>
      </c>
      <c r="D88" s="7">
        <v>1.5220000000000001E-4</v>
      </c>
      <c r="E88" s="7">
        <v>2.4300000000000001E-5</v>
      </c>
      <c r="F88" s="7">
        <v>1.1769E-3</v>
      </c>
      <c r="G88" s="7">
        <v>1.5770300000000001E-2</v>
      </c>
      <c r="H88" s="7">
        <v>2.3E-6</v>
      </c>
      <c r="I88" s="7">
        <v>0</v>
      </c>
      <c r="J88" s="7">
        <v>4.4435700000000002E-2</v>
      </c>
      <c r="K88" s="7">
        <v>0</v>
      </c>
      <c r="L88" s="7">
        <v>0.1538091</v>
      </c>
      <c r="M88" s="7">
        <v>0.31123790000000001</v>
      </c>
      <c r="N88" s="7">
        <v>0</v>
      </c>
      <c r="O88" s="7">
        <v>0</v>
      </c>
      <c r="P88" s="7">
        <f ca="1">SUM(OFFSET($A$73,15,1,1,14))</f>
        <v>0.52661029999999998</v>
      </c>
      <c r="Q88" s="7">
        <f ca="1">SUM(OFFSET($A$73,15,1,1,12))</f>
        <v>0.52661029999999998</v>
      </c>
    </row>
    <row r="89" spans="1:17" x14ac:dyDescent="0.2">
      <c r="A89" s="7" t="s">
        <v>43</v>
      </c>
      <c r="B89" s="7">
        <f ca="1">SUM(OFFSET($A$73,2,1,14,1))</f>
        <v>115.20970269999999</v>
      </c>
      <c r="C89" s="7">
        <f ca="1">SUM(OFFSET($A$73,2,2,14,1))</f>
        <v>404.22969079999996</v>
      </c>
      <c r="D89" s="7">
        <f ca="1">SUM(OFFSET($A$73,2,3,14,1))</f>
        <v>4841.3594738000002</v>
      </c>
      <c r="E89" s="7">
        <f ca="1">SUM(OFFSET($A$73,2,4,14,1))</f>
        <v>6910.4947568000007</v>
      </c>
      <c r="F89" s="7">
        <f ca="1">SUM(OFFSET($A$73,2,5,14,1))</f>
        <v>6232.1143562999987</v>
      </c>
      <c r="G89" s="7">
        <f ca="1">SUM(OFFSET($A$73,2,6,14,1))</f>
        <v>1068.7681524</v>
      </c>
      <c r="H89" s="7">
        <f ca="1">SUM(OFFSET($A$73,2,7,14,1))</f>
        <v>1099.9020597000001</v>
      </c>
      <c r="I89" s="7">
        <f ca="1">SUM(OFFSET($A$73,2,8,14,1))</f>
        <v>41.825381499999999</v>
      </c>
      <c r="J89" s="7">
        <f ca="1">SUM(OFFSET($A$73,2,9,14,1))</f>
        <v>1173.9833105</v>
      </c>
      <c r="K89" s="7">
        <f ca="1">SUM(OFFSET($A$73,2,10,14,1))</f>
        <v>35.800153700000003</v>
      </c>
      <c r="L89" s="7">
        <f ca="1">SUM(OFFSET($A$73,2,11,14,1))</f>
        <v>16.198612099999998</v>
      </c>
      <c r="M89" s="7">
        <f ca="1">SUM(OFFSET($A$73,2,12,14,1))</f>
        <v>8.4214955999999983</v>
      </c>
      <c r="N89" s="7">
        <f ca="1">SUM(OFFSET($A$73,2,13,14,1))</f>
        <v>0</v>
      </c>
      <c r="O89" s="7">
        <f ca="1">SUM(OFFSET($A$73,2,14,14,1))</f>
        <v>7.7995E-3</v>
      </c>
      <c r="P89" s="7">
        <f ca="1">SUM(OFFSET($A$73,16,1,1,14))</f>
        <v>21948.314945399998</v>
      </c>
      <c r="Q89" s="7">
        <f ca="1">SUM(OFFSET($A$73,16,1,1,12))</f>
        <v>21948.307145899998</v>
      </c>
    </row>
    <row r="90" spans="1:17" x14ac:dyDescent="0.2">
      <c r="O90" s="12" t="s">
        <v>59</v>
      </c>
      <c r="P90" s="7">
        <f ca="1">SUM(OFFSET($B$75,0,0,12,12))</f>
        <v>21947.171088700004</v>
      </c>
    </row>
    <row r="91" spans="1:17" x14ac:dyDescent="0.2">
      <c r="A91" s="7" t="s">
        <v>97</v>
      </c>
    </row>
    <row r="92" spans="1:17" x14ac:dyDescent="0.2">
      <c r="B92" s="7">
        <v>1</v>
      </c>
      <c r="C92" s="7">
        <v>2</v>
      </c>
      <c r="D92" s="7">
        <v>3</v>
      </c>
      <c r="E92" s="7">
        <v>4</v>
      </c>
      <c r="F92" s="7">
        <v>5</v>
      </c>
      <c r="G92" s="7">
        <v>6</v>
      </c>
      <c r="H92" s="7">
        <v>7</v>
      </c>
      <c r="I92" s="7">
        <v>8</v>
      </c>
      <c r="J92" s="7">
        <v>9</v>
      </c>
      <c r="K92" s="7">
        <v>10</v>
      </c>
      <c r="L92" s="7">
        <v>11</v>
      </c>
      <c r="M92" s="7">
        <v>12</v>
      </c>
      <c r="N92" s="7">
        <v>13</v>
      </c>
      <c r="O92" s="7">
        <v>14</v>
      </c>
      <c r="P92" s="7" t="s">
        <v>43</v>
      </c>
      <c r="Q92" s="7" t="s">
        <v>61</v>
      </c>
    </row>
    <row r="93" spans="1:17" x14ac:dyDescent="0.2">
      <c r="A93" s="7">
        <v>1</v>
      </c>
      <c r="B93" s="7">
        <v>1209.77</v>
      </c>
      <c r="C93" s="7">
        <v>74.864440000000002</v>
      </c>
      <c r="D93" s="7">
        <v>12.517659999999999</v>
      </c>
      <c r="E93" s="7">
        <v>8.0222000000000002E-2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f ca="1">SUM(OFFSET($A$91,2,1,1,14))</f>
        <v>1297.2323220000001</v>
      </c>
      <c r="Q93" s="7">
        <f ca="1">SUM(OFFSET($A$91,2,1,1,12))</f>
        <v>1297.2323220000001</v>
      </c>
    </row>
    <row r="94" spans="1:17" x14ac:dyDescent="0.2">
      <c r="A94" s="7">
        <v>2</v>
      </c>
      <c r="B94" s="7">
        <v>95.914010000000005</v>
      </c>
      <c r="C94" s="7">
        <v>3767.817</v>
      </c>
      <c r="D94" s="7">
        <v>2.7485390000000001</v>
      </c>
      <c r="E94" s="7">
        <v>3.5701619999999998</v>
      </c>
      <c r="F94" s="7">
        <v>1.36267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f ca="1">SUM(OFFSET($A$91,3,1,1,14))</f>
        <v>3871.4123810000001</v>
      </c>
      <c r="Q94" s="7">
        <f ca="1">SUM(OFFSET($A$91,3,1,1,12))</f>
        <v>3871.4123810000001</v>
      </c>
    </row>
    <row r="95" spans="1:17" x14ac:dyDescent="0.2">
      <c r="A95" s="7">
        <v>3</v>
      </c>
      <c r="B95" s="7">
        <v>7.9475639999999999</v>
      </c>
      <c r="C95" s="7">
        <v>2.1265879999999999</v>
      </c>
      <c r="D95" s="7">
        <v>12267.76</v>
      </c>
      <c r="E95" s="7">
        <v>358.00569999999999</v>
      </c>
      <c r="F95" s="7">
        <v>0.68374140000000005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f ca="1">SUM(OFFSET($A$91,4,1,1,14))</f>
        <v>12636.523593399999</v>
      </c>
      <c r="Q95" s="7">
        <f ca="1">SUM(OFFSET($A$91,4,1,1,12))</f>
        <v>12636.523593399999</v>
      </c>
    </row>
    <row r="96" spans="1:17" x14ac:dyDescent="0.2">
      <c r="A96" s="7">
        <v>4</v>
      </c>
      <c r="B96" s="7">
        <v>2.8940199999999999E-2</v>
      </c>
      <c r="C96" s="7">
        <v>2.8794749999999998</v>
      </c>
      <c r="D96" s="7">
        <v>676.03589999999997</v>
      </c>
      <c r="E96" s="7">
        <v>19804.03</v>
      </c>
      <c r="F96" s="7">
        <v>314.53739999999999</v>
      </c>
      <c r="G96" s="7">
        <v>0</v>
      </c>
      <c r="H96" s="7">
        <v>42.423999999999999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f ca="1">SUM(OFFSET($A$91,5,1,1,14))</f>
        <v>20839.935715199998</v>
      </c>
      <c r="Q96" s="7">
        <f ca="1">SUM(OFFSET($A$91,5,1,1,12))</f>
        <v>20839.935715199998</v>
      </c>
    </row>
    <row r="97" spans="1:17" x14ac:dyDescent="0.2">
      <c r="A97" s="7">
        <v>5</v>
      </c>
      <c r="B97" s="7">
        <v>0</v>
      </c>
      <c r="C97" s="7">
        <v>1.590557</v>
      </c>
      <c r="D97" s="7">
        <v>1.605183</v>
      </c>
      <c r="E97" s="7">
        <v>249.18260000000001</v>
      </c>
      <c r="F97" s="7">
        <v>8837.9930000000004</v>
      </c>
      <c r="G97" s="7">
        <v>166.8296</v>
      </c>
      <c r="H97" s="7">
        <v>13.68183</v>
      </c>
      <c r="I97" s="7">
        <v>1.275369</v>
      </c>
      <c r="J97" s="7">
        <v>5.7409990000000004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f ca="1">SUM(OFFSET($A$91,6,1,1,14))</f>
        <v>9277.8991379999989</v>
      </c>
      <c r="Q97" s="7">
        <f ca="1">SUM(OFFSET($A$91,6,1,1,12))</f>
        <v>9277.8991379999989</v>
      </c>
    </row>
    <row r="98" spans="1:17" x14ac:dyDescent="0.2">
      <c r="A98" s="7">
        <v>6</v>
      </c>
      <c r="B98" s="7">
        <v>0</v>
      </c>
      <c r="C98" s="7">
        <v>0</v>
      </c>
      <c r="D98" s="7">
        <v>0</v>
      </c>
      <c r="E98" s="7">
        <v>0</v>
      </c>
      <c r="F98" s="7">
        <v>174.66759999999999</v>
      </c>
      <c r="G98" s="7">
        <v>3009.64</v>
      </c>
      <c r="H98" s="7">
        <v>0</v>
      </c>
      <c r="I98" s="7">
        <v>0</v>
      </c>
      <c r="J98" s="7">
        <v>8.1345100000000004E-2</v>
      </c>
      <c r="K98" s="7">
        <v>0</v>
      </c>
      <c r="L98" s="7">
        <v>0.39878609999999998</v>
      </c>
      <c r="M98" s="7">
        <v>0</v>
      </c>
      <c r="N98" s="7">
        <v>0</v>
      </c>
      <c r="O98" s="7">
        <v>0</v>
      </c>
      <c r="P98" s="7">
        <f ca="1">SUM(OFFSET($A$91,7,1,1,14))</f>
        <v>3184.7877312000001</v>
      </c>
      <c r="Q98" s="7">
        <f ca="1">SUM(OFFSET($A$91,7,1,1,12))</f>
        <v>3184.7877312000001</v>
      </c>
    </row>
    <row r="99" spans="1:17" x14ac:dyDescent="0.2">
      <c r="A99" s="7">
        <v>7</v>
      </c>
      <c r="B99" s="7">
        <v>0</v>
      </c>
      <c r="C99" s="7">
        <v>0</v>
      </c>
      <c r="D99" s="7">
        <v>0</v>
      </c>
      <c r="E99" s="7">
        <v>22.973759999999999</v>
      </c>
      <c r="F99" s="7">
        <v>17.519770000000001</v>
      </c>
      <c r="G99" s="7">
        <v>0</v>
      </c>
      <c r="H99" s="7">
        <v>2968.665</v>
      </c>
      <c r="I99" s="7">
        <v>0.88634559999999996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f ca="1">SUM(OFFSET($A$91,8,1,1,14))</f>
        <v>3010.0448756000001</v>
      </c>
      <c r="Q99" s="7">
        <f ca="1">SUM(OFFSET($A$91,8,1,1,12))</f>
        <v>3010.0448756000001</v>
      </c>
    </row>
    <row r="100" spans="1:17" x14ac:dyDescent="0.2">
      <c r="A100" s="7">
        <v>8</v>
      </c>
      <c r="B100" s="7">
        <v>0</v>
      </c>
      <c r="C100" s="7">
        <v>0</v>
      </c>
      <c r="D100" s="7">
        <v>0</v>
      </c>
      <c r="E100" s="7">
        <v>0</v>
      </c>
      <c r="F100" s="7">
        <v>1.3353390000000001</v>
      </c>
      <c r="G100" s="7">
        <v>0</v>
      </c>
      <c r="H100" s="7">
        <v>0.3704558</v>
      </c>
      <c r="I100" s="7">
        <v>946.78989999999999</v>
      </c>
      <c r="J100" s="7">
        <v>1.614806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f ca="1">SUM(OFFSET($A$91,9,1,1,14))</f>
        <v>950.11050080000007</v>
      </c>
      <c r="Q100" s="7">
        <f ca="1">SUM(OFFSET($A$91,9,1,1,12))</f>
        <v>950.11050080000007</v>
      </c>
    </row>
    <row r="101" spans="1:17" x14ac:dyDescent="0.2">
      <c r="A101" s="7">
        <v>9</v>
      </c>
      <c r="B101" s="7">
        <v>0</v>
      </c>
      <c r="C101" s="7">
        <v>0</v>
      </c>
      <c r="D101" s="7">
        <v>0</v>
      </c>
      <c r="E101" s="7">
        <v>0</v>
      </c>
      <c r="F101" s="7">
        <v>3.3464619999999998</v>
      </c>
      <c r="G101" s="7">
        <v>0.10252029999999999</v>
      </c>
      <c r="H101" s="7">
        <v>3.1589399999999997E-2</v>
      </c>
      <c r="I101" s="7">
        <v>1.4506680000000001</v>
      </c>
      <c r="J101" s="7">
        <v>4960.4530000000004</v>
      </c>
      <c r="K101" s="7">
        <v>2.1286499999999999</v>
      </c>
      <c r="L101" s="7">
        <v>6.9951200000000005E-2</v>
      </c>
      <c r="M101" s="7">
        <v>144.4477</v>
      </c>
      <c r="N101" s="7">
        <v>0</v>
      </c>
      <c r="O101" s="7">
        <v>0</v>
      </c>
      <c r="P101" s="7">
        <f ca="1">SUM(OFFSET($A$91,10,1,1,14))</f>
        <v>5112.0305409000002</v>
      </c>
      <c r="Q101" s="7">
        <f ca="1">SUM(OFFSET($A$91,10,1,1,12))</f>
        <v>5112.0305409000002</v>
      </c>
    </row>
    <row r="102" spans="1:17" x14ac:dyDescent="0.2">
      <c r="A102" s="7">
        <v>10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2.3583090000000002</v>
      </c>
      <c r="K102" s="7">
        <v>2353.6309999999999</v>
      </c>
      <c r="L102" s="7">
        <v>0</v>
      </c>
      <c r="M102" s="7">
        <v>0.474885</v>
      </c>
      <c r="N102" s="7">
        <v>0</v>
      </c>
      <c r="O102" s="7">
        <v>0</v>
      </c>
      <c r="P102" s="7">
        <f ca="1">SUM(OFFSET($A$91,11,1,1,14))</f>
        <v>2356.4641940000001</v>
      </c>
      <c r="Q102" s="7">
        <f ca="1">SUM(OFFSET($A$91,11,1,1,12))</f>
        <v>2356.4641940000001</v>
      </c>
    </row>
    <row r="103" spans="1:17" x14ac:dyDescent="0.2">
      <c r="A103" s="7">
        <v>11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0.44228659999999997</v>
      </c>
      <c r="H103" s="7">
        <v>0</v>
      </c>
      <c r="I103" s="7">
        <v>0</v>
      </c>
      <c r="J103" s="7">
        <v>5.1851399999999999E-2</v>
      </c>
      <c r="K103" s="7">
        <v>0</v>
      </c>
      <c r="L103" s="7">
        <v>1420.9449999999999</v>
      </c>
      <c r="M103" s="7">
        <v>0.34124660000000001</v>
      </c>
      <c r="N103" s="7">
        <v>0.1147687</v>
      </c>
      <c r="O103" s="7">
        <v>0</v>
      </c>
      <c r="P103" s="7">
        <f ca="1">SUM(OFFSET($A$91,12,1,1,14))</f>
        <v>1421.8951532999999</v>
      </c>
      <c r="Q103" s="7">
        <f ca="1">SUM(OFFSET($A$91,12,1,1,12))</f>
        <v>1421.7803845999999</v>
      </c>
    </row>
    <row r="104" spans="1:17" x14ac:dyDescent="0.2">
      <c r="A104" s="7">
        <v>12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124.4933</v>
      </c>
      <c r="K104" s="7">
        <v>0.43820730000000002</v>
      </c>
      <c r="L104" s="7">
        <v>0.45341340000000002</v>
      </c>
      <c r="M104" s="7">
        <v>2488.018</v>
      </c>
      <c r="N104" s="7">
        <v>0</v>
      </c>
      <c r="O104" s="7">
        <v>0.91811050000000005</v>
      </c>
      <c r="P104" s="7">
        <f ca="1">SUM(OFFSET($A$91,13,1,1,14))</f>
        <v>2614.3210311999997</v>
      </c>
      <c r="Q104" s="7">
        <f ca="1">SUM(OFFSET($A$91,13,1,1,12))</f>
        <v>2613.4029206999999</v>
      </c>
    </row>
    <row r="105" spans="1:17" x14ac:dyDescent="0.2">
      <c r="A105" s="7">
        <v>13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0.11501069999999999</v>
      </c>
      <c r="M105" s="7">
        <v>0</v>
      </c>
      <c r="N105" s="7">
        <v>399.97190000000001</v>
      </c>
      <c r="O105" s="7">
        <v>0.44544129999999998</v>
      </c>
      <c r="P105" s="7">
        <f ca="1">SUM(OFFSET($A$91,14,1,1,14))</f>
        <v>400.53235200000006</v>
      </c>
      <c r="Q105" s="7">
        <f ca="1">SUM(OFFSET($A$91,14,1,1,12))</f>
        <v>0.11501069999999999</v>
      </c>
    </row>
    <row r="106" spans="1:17" x14ac:dyDescent="0.2">
      <c r="A106" s="7">
        <v>14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0.94616699999999998</v>
      </c>
      <c r="N106" s="7">
        <v>0.58115700000000003</v>
      </c>
      <c r="O106" s="7">
        <v>4197.74</v>
      </c>
      <c r="P106" s="7">
        <f ca="1">SUM(OFFSET($A$91,15,1,1,14))</f>
        <v>4199.2673239999995</v>
      </c>
      <c r="Q106" s="7">
        <f ca="1">SUM(OFFSET($A$91,15,1,1,12))</f>
        <v>0.94616699999999998</v>
      </c>
    </row>
    <row r="107" spans="1:17" x14ac:dyDescent="0.2">
      <c r="A107" s="7" t="s">
        <v>43</v>
      </c>
      <c r="B107" s="7">
        <f ca="1">SUM(OFFSET($A$91,2,1,14,1))</f>
        <v>1313.6605142000001</v>
      </c>
      <c r="C107" s="7">
        <f ca="1">SUM(OFFSET($A$91,2,2,14,1))</f>
        <v>3849.2780600000001</v>
      </c>
      <c r="D107" s="7">
        <f ca="1">SUM(OFFSET($A$91,2,3,14,1))</f>
        <v>12960.667282</v>
      </c>
      <c r="E107" s="7">
        <f ca="1">SUM(OFFSET($A$91,2,4,14,1))</f>
        <v>20437.842443999998</v>
      </c>
      <c r="F107" s="7">
        <f ca="1">SUM(OFFSET($A$91,2,5,14,1))</f>
        <v>9351.4459824000005</v>
      </c>
      <c r="G107" s="7">
        <f ca="1">SUM(OFFSET($A$91,2,6,14,1))</f>
        <v>3177.0144068999998</v>
      </c>
      <c r="H107" s="7">
        <f ca="1">SUM(OFFSET($A$91,2,7,14,1))</f>
        <v>3025.1728751999999</v>
      </c>
      <c r="I107" s="7">
        <f ca="1">SUM(OFFSET($A$91,2,8,14,1))</f>
        <v>950.40228259999992</v>
      </c>
      <c r="J107" s="7">
        <f ca="1">SUM(OFFSET($A$91,2,9,14,1))</f>
        <v>5094.7936104999999</v>
      </c>
      <c r="K107" s="7">
        <f ca="1">SUM(OFFSET($A$91,2,10,14,1))</f>
        <v>2356.1978573000001</v>
      </c>
      <c r="L107" s="7">
        <f ca="1">SUM(OFFSET($A$91,2,11,14,1))</f>
        <v>1421.9821614</v>
      </c>
      <c r="M107" s="7">
        <f ca="1">SUM(OFFSET($A$91,2,12,14,1))</f>
        <v>2634.2279986000003</v>
      </c>
      <c r="N107" s="7">
        <f ca="1">SUM(OFFSET($A$91,2,13,14,1))</f>
        <v>400.66782570000004</v>
      </c>
      <c r="O107" s="7">
        <f ca="1">SUM(OFFSET($A$91,2,14,14,1))</f>
        <v>4199.1035517999999</v>
      </c>
      <c r="P107" s="7">
        <f ca="1">SUM(OFFSET($A$91,16,1,1,14))</f>
        <v>71172.456852600008</v>
      </c>
      <c r="Q107" s="7">
        <f ca="1">SUM(OFFSET($A$91,16,1,1,12))</f>
        <v>66572.685475100006</v>
      </c>
    </row>
    <row r="108" spans="1:17" x14ac:dyDescent="0.2">
      <c r="O108" s="12" t="s">
        <v>59</v>
      </c>
      <c r="P108" s="7">
        <f ca="1">SUM(OFFSET($B$93,0,0,12,12))</f>
        <v>66571.624297400034</v>
      </c>
    </row>
    <row r="109" spans="1:17" x14ac:dyDescent="0.2">
      <c r="A109" s="7" t="s">
        <v>99</v>
      </c>
    </row>
    <row r="110" spans="1:17" x14ac:dyDescent="0.2">
      <c r="B110" s="7">
        <v>1</v>
      </c>
      <c r="C110" s="7">
        <v>2</v>
      </c>
      <c r="D110" s="7">
        <v>3</v>
      </c>
      <c r="E110" s="7">
        <v>4</v>
      </c>
      <c r="F110" s="7">
        <v>5</v>
      </c>
      <c r="G110" s="7">
        <v>6</v>
      </c>
      <c r="H110" s="7">
        <v>7</v>
      </c>
      <c r="I110" s="7">
        <v>8</v>
      </c>
      <c r="J110" s="7">
        <v>9</v>
      </c>
      <c r="K110" s="7">
        <v>10</v>
      </c>
      <c r="L110" s="7">
        <v>11</v>
      </c>
      <c r="M110" s="7">
        <v>12</v>
      </c>
      <c r="N110" s="7">
        <v>13</v>
      </c>
      <c r="O110" s="7">
        <v>14</v>
      </c>
      <c r="P110" s="7" t="s">
        <v>43</v>
      </c>
      <c r="Q110" s="7" t="s">
        <v>61</v>
      </c>
    </row>
    <row r="111" spans="1:17" x14ac:dyDescent="0.2">
      <c r="A111" s="7">
        <v>1</v>
      </c>
      <c r="B111" s="7">
        <v>82.110799999999998</v>
      </c>
      <c r="C111" s="7">
        <v>21.65503</v>
      </c>
      <c r="D111" s="7">
        <v>6.410647</v>
      </c>
      <c r="E111" s="7">
        <v>2.549715</v>
      </c>
      <c r="F111" s="7">
        <v>9.0062100000000006E-2</v>
      </c>
      <c r="G111" s="7">
        <v>0</v>
      </c>
      <c r="H111" s="7">
        <v>1.2999999999999999E-4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f ca="1">SUM(OFFSET($A$109,2,1,1,14))</f>
        <v>112.81638409999999</v>
      </c>
      <c r="Q111" s="7">
        <f ca="1">SUM(OFFSET($A$109,2,1,1,12))</f>
        <v>112.81638409999999</v>
      </c>
    </row>
    <row r="112" spans="1:17" x14ac:dyDescent="0.2">
      <c r="A112" s="7">
        <v>2</v>
      </c>
      <c r="B112" s="7">
        <v>30.742730000000002</v>
      </c>
      <c r="C112" s="7">
        <v>349.4554</v>
      </c>
      <c r="D112" s="7">
        <v>5.7188480000000004</v>
      </c>
      <c r="E112" s="7">
        <v>10.365360000000001</v>
      </c>
      <c r="F112" s="7">
        <v>4.9820330000000004</v>
      </c>
      <c r="G112" s="7">
        <v>7.1308999999999999E-3</v>
      </c>
      <c r="H112" s="7">
        <v>2.0347999999999998E-3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f ca="1">SUM(OFFSET($A$109,3,1,1,14))</f>
        <v>401.27353669999997</v>
      </c>
      <c r="Q112" s="7">
        <f ca="1">SUM(OFFSET($A$109,3,1,1,12))</f>
        <v>401.27353669999997</v>
      </c>
    </row>
    <row r="113" spans="1:17" x14ac:dyDescent="0.2">
      <c r="A113" s="7">
        <v>3</v>
      </c>
      <c r="B113" s="7">
        <v>7.2416489999999998</v>
      </c>
      <c r="C113" s="7">
        <v>5.5443150000000001</v>
      </c>
      <c r="D113" s="7">
        <v>329.62450000000001</v>
      </c>
      <c r="E113" s="7">
        <v>475.4325</v>
      </c>
      <c r="F113" s="7">
        <v>4.0721220000000002</v>
      </c>
      <c r="G113" s="7">
        <v>7.8776000000000002E-3</v>
      </c>
      <c r="H113" s="7">
        <v>0.92797180000000001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f ca="1">SUM(OFFSET($A$109,4,1,1,14))</f>
        <v>822.85093540000003</v>
      </c>
      <c r="Q113" s="7">
        <f ca="1">SUM(OFFSET($A$109,4,1,1,12))</f>
        <v>822.85093540000003</v>
      </c>
    </row>
    <row r="114" spans="1:17" x14ac:dyDescent="0.2">
      <c r="A114" s="7">
        <v>4</v>
      </c>
      <c r="B114" s="7">
        <v>3.0718760000000001</v>
      </c>
      <c r="C114" s="7">
        <v>12.425979999999999</v>
      </c>
      <c r="D114" s="7">
        <v>642.04780000000005</v>
      </c>
      <c r="E114" s="7">
        <v>4946.41</v>
      </c>
      <c r="F114" s="7">
        <v>150.774</v>
      </c>
      <c r="G114" s="7">
        <v>1.4376880000000001</v>
      </c>
      <c r="H114" s="7">
        <v>75.465050000000005</v>
      </c>
      <c r="I114" s="7">
        <v>0.28887299999999999</v>
      </c>
      <c r="J114" s="7">
        <v>8.6931099999999997E-2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f ca="1">SUM(OFFSET($A$109,5,1,1,14))</f>
        <v>5832.0081981000003</v>
      </c>
      <c r="Q114" s="7">
        <f ca="1">SUM(OFFSET($A$109,5,1,1,12))</f>
        <v>5832.0081981000003</v>
      </c>
    </row>
    <row r="115" spans="1:17" x14ac:dyDescent="0.2">
      <c r="A115" s="7">
        <v>5</v>
      </c>
      <c r="B115" s="7">
        <v>0.12876360000000001</v>
      </c>
      <c r="C115" s="7">
        <v>6.8873300000000004</v>
      </c>
      <c r="D115" s="7">
        <v>5.8143050000000001</v>
      </c>
      <c r="E115" s="7">
        <v>173.8766</v>
      </c>
      <c r="F115" s="7">
        <v>704.4289</v>
      </c>
      <c r="G115" s="7">
        <v>44.221530000000001</v>
      </c>
      <c r="H115" s="7">
        <v>3.8753489999999999</v>
      </c>
      <c r="I115" s="7">
        <v>0.58299469999999998</v>
      </c>
      <c r="J115" s="7">
        <v>11.371930000000001</v>
      </c>
      <c r="K115" s="7">
        <v>0</v>
      </c>
      <c r="L115" s="7">
        <v>1.1081199999999999E-2</v>
      </c>
      <c r="M115" s="7">
        <v>0</v>
      </c>
      <c r="N115" s="7">
        <v>0</v>
      </c>
      <c r="O115" s="7">
        <v>0</v>
      </c>
      <c r="P115" s="7">
        <f ca="1">SUM(OFFSET($A$109,6,1,1,14))</f>
        <v>951.1987835000001</v>
      </c>
      <c r="Q115" s="7">
        <f ca="1">SUM(OFFSET($A$109,6,1,1,12))</f>
        <v>951.1987835000001</v>
      </c>
    </row>
    <row r="116" spans="1:17" x14ac:dyDescent="0.2">
      <c r="A116" s="7">
        <v>6</v>
      </c>
      <c r="B116" s="7">
        <v>0</v>
      </c>
      <c r="C116" s="7">
        <v>7.9138999999999998E-3</v>
      </c>
      <c r="D116" s="7">
        <v>8.5932999999999999E-3</v>
      </c>
      <c r="E116" s="7">
        <v>1.21631</v>
      </c>
      <c r="F116" s="7">
        <v>26.373180000000001</v>
      </c>
      <c r="G116" s="7">
        <v>243.9271</v>
      </c>
      <c r="H116" s="7">
        <v>1.1397900000000001E-2</v>
      </c>
      <c r="I116" s="7">
        <v>3.5626999999999998E-3</v>
      </c>
      <c r="J116" s="7">
        <v>1.1637280000000001</v>
      </c>
      <c r="K116" s="7">
        <v>0</v>
      </c>
      <c r="L116" s="7">
        <v>3.7788409999999999</v>
      </c>
      <c r="M116" s="7">
        <v>5.9240999999999999E-3</v>
      </c>
      <c r="N116" s="7">
        <v>0</v>
      </c>
      <c r="O116" s="7">
        <v>0</v>
      </c>
      <c r="P116" s="7">
        <f ca="1">SUM(OFFSET($A$109,7,1,1,14))</f>
        <v>276.49655089999999</v>
      </c>
      <c r="Q116" s="7">
        <f ca="1">SUM(OFFSET($A$109,7,1,1,12))</f>
        <v>276.49655089999999</v>
      </c>
    </row>
    <row r="117" spans="1:17" x14ac:dyDescent="0.2">
      <c r="A117" s="7">
        <v>7</v>
      </c>
      <c r="B117" s="7">
        <v>1.59E-5</v>
      </c>
      <c r="C117" s="7">
        <v>1.0479E-3</v>
      </c>
      <c r="D117" s="7">
        <v>0.6602228</v>
      </c>
      <c r="E117" s="7">
        <v>39.450719999999997</v>
      </c>
      <c r="F117" s="7">
        <v>2.9596230000000001</v>
      </c>
      <c r="G117" s="7">
        <v>8.3596999999999994E-3</v>
      </c>
      <c r="H117" s="7">
        <v>258.99</v>
      </c>
      <c r="I117" s="7">
        <v>3.3220879999999999</v>
      </c>
      <c r="J117" s="7">
        <v>0.61347790000000002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f ca="1">SUM(OFFSET($A$109,8,1,1,14))</f>
        <v>306.0055552</v>
      </c>
      <c r="Q117" s="7">
        <f ca="1">SUM(OFFSET($A$109,8,1,1,12))</f>
        <v>306.0055552</v>
      </c>
    </row>
    <row r="118" spans="1:17" x14ac:dyDescent="0.2">
      <c r="A118" s="7">
        <v>8</v>
      </c>
      <c r="B118" s="7">
        <v>0</v>
      </c>
      <c r="C118" s="7">
        <v>0</v>
      </c>
      <c r="D118" s="7">
        <v>0</v>
      </c>
      <c r="E118" s="7">
        <v>7.4633000000000005E-2</v>
      </c>
      <c r="F118" s="7">
        <v>0.40914339999999999</v>
      </c>
      <c r="G118" s="7">
        <v>2.5639999999999999E-3</v>
      </c>
      <c r="H118" s="7">
        <v>2.737778</v>
      </c>
      <c r="I118" s="7">
        <v>74.445520000000002</v>
      </c>
      <c r="J118" s="7">
        <v>2.6417929999999998</v>
      </c>
      <c r="K118" s="7">
        <v>1.21911E-2</v>
      </c>
      <c r="L118" s="7">
        <v>0</v>
      </c>
      <c r="M118" s="7">
        <v>0</v>
      </c>
      <c r="N118" s="7">
        <v>0</v>
      </c>
      <c r="O118" s="7">
        <v>0</v>
      </c>
      <c r="P118" s="7">
        <f ca="1">SUM(OFFSET($A$109,9,1,1,14))</f>
        <v>80.323622499999999</v>
      </c>
      <c r="Q118" s="7">
        <f ca="1">SUM(OFFSET($A$109,9,1,1,12))</f>
        <v>80.323622499999999</v>
      </c>
    </row>
    <row r="119" spans="1:17" x14ac:dyDescent="0.2">
      <c r="A119" s="7">
        <v>9</v>
      </c>
      <c r="B119" s="7">
        <v>0</v>
      </c>
      <c r="C119" s="7">
        <v>0</v>
      </c>
      <c r="D119" s="7">
        <v>0</v>
      </c>
      <c r="E119" s="7">
        <v>6.6901799999999997E-2</v>
      </c>
      <c r="F119" s="7">
        <v>6.6419790000000001</v>
      </c>
      <c r="G119" s="7">
        <v>1.217381</v>
      </c>
      <c r="H119" s="7">
        <v>0.69574199999999997</v>
      </c>
      <c r="I119" s="7">
        <v>2.3974500000000001</v>
      </c>
      <c r="J119" s="7">
        <v>521.81349999999998</v>
      </c>
      <c r="K119" s="7">
        <v>4.3962380000000003</v>
      </c>
      <c r="L119" s="7">
        <v>0.17684800000000001</v>
      </c>
      <c r="M119" s="7">
        <v>16.820080000000001</v>
      </c>
      <c r="N119" s="7">
        <v>0</v>
      </c>
      <c r="O119" s="7">
        <v>0</v>
      </c>
      <c r="P119" s="7">
        <f ca="1">SUM(OFFSET($A$109,10,1,1,14))</f>
        <v>554.22611979999988</v>
      </c>
      <c r="Q119" s="7">
        <f ca="1">SUM(OFFSET($A$109,10,1,1,12))</f>
        <v>554.22611979999988</v>
      </c>
    </row>
    <row r="120" spans="1:17" x14ac:dyDescent="0.2">
      <c r="A120" s="7">
        <v>10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1.9068999999999999E-2</v>
      </c>
      <c r="J120" s="7">
        <v>5.7167649999999997</v>
      </c>
      <c r="K120" s="7">
        <v>216.03960000000001</v>
      </c>
      <c r="L120" s="7">
        <v>0</v>
      </c>
      <c r="M120" s="7">
        <v>1.3037620000000001</v>
      </c>
      <c r="N120" s="7">
        <v>0</v>
      </c>
      <c r="O120" s="7">
        <v>0</v>
      </c>
      <c r="P120" s="7">
        <f ca="1">SUM(OFFSET($A$109,11,1,1,14))</f>
        <v>223.07919600000002</v>
      </c>
      <c r="Q120" s="7">
        <f ca="1">SUM(OFFSET($A$109,11,1,1,12))</f>
        <v>223.07919600000002</v>
      </c>
    </row>
    <row r="121" spans="1:17" x14ac:dyDescent="0.2">
      <c r="A121" s="7">
        <v>11</v>
      </c>
      <c r="B121" s="7">
        <v>0</v>
      </c>
      <c r="C121" s="7">
        <v>0</v>
      </c>
      <c r="D121" s="7">
        <v>0</v>
      </c>
      <c r="E121" s="7">
        <v>0</v>
      </c>
      <c r="F121" s="7">
        <v>5.2259000000000003E-3</v>
      </c>
      <c r="G121" s="7">
        <v>3.7274289999999999</v>
      </c>
      <c r="H121" s="7">
        <v>0</v>
      </c>
      <c r="I121" s="7">
        <v>0</v>
      </c>
      <c r="J121" s="7">
        <v>0.138435</v>
      </c>
      <c r="K121" s="7">
        <v>0</v>
      </c>
      <c r="L121" s="7">
        <v>135.29300000000001</v>
      </c>
      <c r="M121" s="7">
        <v>0.43242560000000002</v>
      </c>
      <c r="N121" s="7">
        <v>0.2091249</v>
      </c>
      <c r="O121" s="7">
        <v>2.1880000000000001E-4</v>
      </c>
      <c r="P121" s="7">
        <f ca="1">SUM(OFFSET($A$109,12,1,1,14))</f>
        <v>139.80585919999999</v>
      </c>
      <c r="Q121" s="7">
        <f ca="1">SUM(OFFSET($A$109,12,1,1,12))</f>
        <v>139.59651549999998</v>
      </c>
    </row>
    <row r="122" spans="1:17" x14ac:dyDescent="0.2">
      <c r="A122" s="7">
        <v>12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7.6781000000000002E-3</v>
      </c>
      <c r="H122" s="7">
        <v>0</v>
      </c>
      <c r="I122" s="7">
        <v>0</v>
      </c>
      <c r="J122" s="7">
        <v>17.178349999999998</v>
      </c>
      <c r="K122" s="7">
        <v>1.1593770000000001</v>
      </c>
      <c r="L122" s="7">
        <v>0.42856959999999999</v>
      </c>
      <c r="M122" s="7">
        <v>135.45320000000001</v>
      </c>
      <c r="N122" s="7">
        <v>3.5099999999999999E-5</v>
      </c>
      <c r="O122" s="7">
        <v>1.9129100000000001</v>
      </c>
      <c r="P122" s="7">
        <f ca="1">SUM(OFFSET($A$109,13,1,1,14))</f>
        <v>156.14011980000001</v>
      </c>
      <c r="Q122" s="7">
        <f ca="1">SUM(OFFSET($A$109,13,1,1,12))</f>
        <v>154.22717470000001</v>
      </c>
    </row>
    <row r="123" spans="1:17" x14ac:dyDescent="0.2">
      <c r="A123" s="7">
        <v>13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0.2056471</v>
      </c>
      <c r="M123" s="7">
        <v>3.6699999999999998E-5</v>
      </c>
      <c r="N123" s="7">
        <v>36.01052</v>
      </c>
      <c r="O123" s="7">
        <v>0.8482731</v>
      </c>
      <c r="P123" s="7">
        <f ca="1">SUM(OFFSET($A$109,14,1,1,14))</f>
        <v>37.064476900000003</v>
      </c>
      <c r="Q123" s="7">
        <f ca="1">SUM(OFFSET($A$109,14,1,1,12))</f>
        <v>0.2056838</v>
      </c>
    </row>
    <row r="124" spans="1:17" x14ac:dyDescent="0.2">
      <c r="A124" s="7">
        <v>14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2.286E-4</v>
      </c>
      <c r="M124" s="7">
        <v>1.9625859999999999</v>
      </c>
      <c r="N124" s="7">
        <v>0.89220069999999996</v>
      </c>
      <c r="O124" s="7">
        <v>285.18830000000003</v>
      </c>
      <c r="P124" s="7">
        <f ca="1">SUM(OFFSET($A$109,15,1,1,14))</f>
        <v>288.04331530000002</v>
      </c>
      <c r="Q124" s="7">
        <f ca="1">SUM(OFFSET($A$109,15,1,1,12))</f>
        <v>1.9628146</v>
      </c>
    </row>
    <row r="125" spans="1:17" x14ac:dyDescent="0.2">
      <c r="A125" s="7" t="s">
        <v>43</v>
      </c>
      <c r="B125" s="7">
        <f ca="1">SUM(OFFSET($A$109,2,1,14,1))</f>
        <v>123.2958345</v>
      </c>
      <c r="C125" s="7">
        <f ca="1">SUM(OFFSET($A$109,2,2,14,1))</f>
        <v>395.9770168</v>
      </c>
      <c r="D125" s="7">
        <f ca="1">SUM(OFFSET($A$109,2,3,14,1))</f>
        <v>990.28491610000015</v>
      </c>
      <c r="E125" s="7">
        <f ca="1">SUM(OFFSET($A$109,2,4,14,1))</f>
        <v>5649.4427397999989</v>
      </c>
      <c r="F125" s="7">
        <f ca="1">SUM(OFFSET($A$109,2,5,14,1))</f>
        <v>900.73626839999997</v>
      </c>
      <c r="G125" s="7">
        <f ca="1">SUM(OFFSET($A$109,2,6,14,1))</f>
        <v>294.56473830000004</v>
      </c>
      <c r="H125" s="7">
        <f ca="1">SUM(OFFSET($A$109,2,7,14,1))</f>
        <v>342.70545350000003</v>
      </c>
      <c r="I125" s="7">
        <f ca="1">SUM(OFFSET($A$109,2,8,14,1))</f>
        <v>81.059557400000003</v>
      </c>
      <c r="J125" s="7">
        <f ca="1">SUM(OFFSET($A$109,2,9,14,1))</f>
        <v>560.72491000000002</v>
      </c>
      <c r="K125" s="7">
        <f ca="1">SUM(OFFSET($A$109,2,10,14,1))</f>
        <v>221.60740610000002</v>
      </c>
      <c r="L125" s="7">
        <f ca="1">SUM(OFFSET($A$109,2,11,14,1))</f>
        <v>139.89421550000003</v>
      </c>
      <c r="M125" s="7">
        <f ca="1">SUM(OFFSET($A$109,2,12,14,1))</f>
        <v>155.97801440000001</v>
      </c>
      <c r="N125" s="7">
        <f ca="1">SUM(OFFSET($A$109,2,13,14,1))</f>
        <v>37.111880699999993</v>
      </c>
      <c r="O125" s="7">
        <f ca="1">SUM(OFFSET($A$109,2,14,14,1))</f>
        <v>287.94970190000004</v>
      </c>
      <c r="P125" s="7">
        <f ca="1">SUM(OFFSET($A$109,16,1,1,14))</f>
        <v>10181.332653400001</v>
      </c>
      <c r="Q125" s="7">
        <f ca="1">SUM(OFFSET($A$109,16,1,1,12))</f>
        <v>9856.2710707999995</v>
      </c>
    </row>
    <row r="126" spans="1:17" x14ac:dyDescent="0.2">
      <c r="O126" s="12" t="s">
        <v>59</v>
      </c>
      <c r="P126" s="7">
        <f ca="1">SUM(OFFSET($B$111,0,0,12,12))</f>
        <v>9854.1025723999992</v>
      </c>
    </row>
    <row r="127" spans="1:17" x14ac:dyDescent="0.2">
      <c r="A127" s="7" t="s">
        <v>101</v>
      </c>
    </row>
    <row r="128" spans="1:17" x14ac:dyDescent="0.2">
      <c r="B128" s="7">
        <v>1</v>
      </c>
      <c r="C128" s="7">
        <v>2</v>
      </c>
      <c r="D128" s="7">
        <v>3</v>
      </c>
      <c r="E128" s="7">
        <v>4</v>
      </c>
      <c r="F128" s="7">
        <v>5</v>
      </c>
      <c r="G128" s="7">
        <v>6</v>
      </c>
      <c r="H128" s="7">
        <v>7</v>
      </c>
      <c r="I128" s="7">
        <v>8</v>
      </c>
      <c r="J128" s="7">
        <v>9</v>
      </c>
      <c r="K128" s="7">
        <v>10</v>
      </c>
      <c r="L128" s="7">
        <v>11</v>
      </c>
      <c r="M128" s="7">
        <v>12</v>
      </c>
      <c r="N128" s="7">
        <v>13</v>
      </c>
      <c r="O128" s="7">
        <v>14</v>
      </c>
      <c r="P128" s="7" t="s">
        <v>43</v>
      </c>
      <c r="Q128" s="7" t="s">
        <v>61</v>
      </c>
    </row>
    <row r="129" spans="1:17" x14ac:dyDescent="0.2">
      <c r="A129" s="7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f ca="1">SUM(OFFSET($A$127,2,1,1,14))</f>
        <v>0</v>
      </c>
      <c r="Q129" s="7">
        <f ca="1">SUM(OFFSET($A$127,2,1,1,12))</f>
        <v>0</v>
      </c>
    </row>
    <row r="130" spans="1:17" x14ac:dyDescent="0.2">
      <c r="A130" s="7">
        <v>2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f ca="1">SUM(OFFSET($A$127,3,1,1,14))</f>
        <v>0</v>
      </c>
      <c r="Q130" s="7">
        <f ca="1">SUM(OFFSET($A$127,3,1,1,12))</f>
        <v>0</v>
      </c>
    </row>
    <row r="131" spans="1:17" x14ac:dyDescent="0.2">
      <c r="A131" s="7">
        <v>3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f ca="1">SUM(OFFSET($A$127,4,1,1,14))</f>
        <v>0</v>
      </c>
      <c r="Q131" s="7">
        <f ca="1">SUM(OFFSET($A$127,4,1,1,12))</f>
        <v>0</v>
      </c>
    </row>
    <row r="132" spans="1:17" x14ac:dyDescent="0.2">
      <c r="A132" s="7">
        <v>4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f ca="1">SUM(OFFSET($A$127,5,1,1,14))</f>
        <v>0</v>
      </c>
      <c r="Q132" s="7">
        <f ca="1">SUM(OFFSET($A$127,5,1,1,12))</f>
        <v>0</v>
      </c>
    </row>
    <row r="133" spans="1:17" x14ac:dyDescent="0.2">
      <c r="A133" s="7">
        <v>5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f ca="1">SUM(OFFSET($A$127,6,1,1,14))</f>
        <v>0</v>
      </c>
      <c r="Q133" s="7">
        <f ca="1">SUM(OFFSET($A$127,6,1,1,12))</f>
        <v>0</v>
      </c>
    </row>
    <row r="134" spans="1:17" x14ac:dyDescent="0.2">
      <c r="A134" s="7">
        <v>6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f ca="1">SUM(OFFSET($A$127,7,1,1,14))</f>
        <v>0</v>
      </c>
      <c r="Q134" s="7">
        <f ca="1">SUM(OFFSET($A$127,7,1,1,12))</f>
        <v>0</v>
      </c>
    </row>
    <row r="135" spans="1:17" x14ac:dyDescent="0.2">
      <c r="A135" s="7">
        <v>7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f ca="1">SUM(OFFSET($A$127,8,1,1,14))</f>
        <v>0</v>
      </c>
      <c r="Q135" s="7">
        <f ca="1">SUM(OFFSET($A$127,8,1,1,12))</f>
        <v>0</v>
      </c>
    </row>
    <row r="136" spans="1:17" x14ac:dyDescent="0.2">
      <c r="A136" s="7">
        <v>8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f ca="1">SUM(OFFSET($A$127,9,1,1,14))</f>
        <v>0</v>
      </c>
      <c r="Q136" s="7">
        <f ca="1">SUM(OFFSET($A$127,9,1,1,12))</f>
        <v>0</v>
      </c>
    </row>
    <row r="137" spans="1:17" x14ac:dyDescent="0.2">
      <c r="A137" s="7">
        <v>9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f ca="1">SUM(OFFSET($A$127,10,1,1,14))</f>
        <v>0</v>
      </c>
      <c r="Q137" s="7">
        <f ca="1">SUM(OFFSET($A$127,10,1,1,12))</f>
        <v>0</v>
      </c>
    </row>
    <row r="138" spans="1:17" x14ac:dyDescent="0.2">
      <c r="A138" s="7">
        <v>10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f ca="1">SUM(OFFSET($A$127,11,1,1,14))</f>
        <v>0</v>
      </c>
      <c r="Q138" s="7">
        <f ca="1">SUM(OFFSET($A$127,11,1,1,12))</f>
        <v>0</v>
      </c>
    </row>
    <row r="139" spans="1:17" x14ac:dyDescent="0.2">
      <c r="A139" s="7">
        <v>11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f ca="1">SUM(OFFSET($A$127,12,1,1,14))</f>
        <v>0</v>
      </c>
      <c r="Q139" s="7">
        <f ca="1">SUM(OFFSET($A$127,12,1,1,12))</f>
        <v>0</v>
      </c>
    </row>
    <row r="140" spans="1:17" x14ac:dyDescent="0.2">
      <c r="A140" s="7">
        <v>12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f ca="1">SUM(OFFSET($A$127,13,1,1,14))</f>
        <v>0</v>
      </c>
      <c r="Q140" s="7">
        <f ca="1">SUM(OFFSET($A$127,13,1,1,12))</f>
        <v>0</v>
      </c>
    </row>
    <row r="141" spans="1:17" x14ac:dyDescent="0.2">
      <c r="A141" s="7">
        <v>13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f ca="1">SUM(OFFSET($A$127,14,1,1,14))</f>
        <v>0</v>
      </c>
      <c r="Q141" s="7">
        <f ca="1">SUM(OFFSET($A$127,14,1,1,12))</f>
        <v>0</v>
      </c>
    </row>
    <row r="142" spans="1:17" x14ac:dyDescent="0.2">
      <c r="A142" s="7">
        <v>14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f ca="1">SUM(OFFSET($A$127,15,1,1,14))</f>
        <v>0</v>
      </c>
      <c r="Q142" s="7">
        <f ca="1">SUM(OFFSET($A$127,15,1,1,12))</f>
        <v>0</v>
      </c>
    </row>
    <row r="143" spans="1:17" x14ac:dyDescent="0.2">
      <c r="A143" s="7" t="s">
        <v>43</v>
      </c>
      <c r="B143" s="7">
        <f ca="1">SUM(OFFSET($A$127,2,1,14,1))</f>
        <v>0</v>
      </c>
      <c r="C143" s="7">
        <f ca="1">SUM(OFFSET($A$127,2,2,14,1))</f>
        <v>0</v>
      </c>
      <c r="D143" s="7">
        <f ca="1">SUM(OFFSET($A$127,2,3,14,1))</f>
        <v>0</v>
      </c>
      <c r="E143" s="7">
        <f ca="1">SUM(OFFSET($A$127,2,4,14,1))</f>
        <v>0</v>
      </c>
      <c r="F143" s="7">
        <f ca="1">SUM(OFFSET($A$127,2,5,14,1))</f>
        <v>0</v>
      </c>
      <c r="G143" s="7">
        <f ca="1">SUM(OFFSET($A$127,2,6,14,1))</f>
        <v>0</v>
      </c>
      <c r="H143" s="7">
        <f ca="1">SUM(OFFSET($A$127,2,7,14,1))</f>
        <v>0</v>
      </c>
      <c r="I143" s="7">
        <f ca="1">SUM(OFFSET($A$127,2,8,14,1))</f>
        <v>0</v>
      </c>
      <c r="J143" s="7">
        <f ca="1">SUM(OFFSET($A$127,2,9,14,1))</f>
        <v>0</v>
      </c>
      <c r="K143" s="7">
        <f ca="1">SUM(OFFSET($A$127,2,10,14,1))</f>
        <v>0</v>
      </c>
      <c r="L143" s="7">
        <f ca="1">SUM(OFFSET($A$127,2,11,14,1))</f>
        <v>0</v>
      </c>
      <c r="M143" s="7">
        <f ca="1">SUM(OFFSET($A$127,2,12,14,1))</f>
        <v>0</v>
      </c>
      <c r="N143" s="7">
        <f ca="1">SUM(OFFSET($A$127,2,13,14,1))</f>
        <v>0</v>
      </c>
      <c r="O143" s="7">
        <f ca="1">SUM(OFFSET($A$127,2,14,14,1))</f>
        <v>0</v>
      </c>
      <c r="P143" s="7">
        <f ca="1">SUM(OFFSET($A$127,16,1,1,14))</f>
        <v>0</v>
      </c>
      <c r="Q143" s="7">
        <f ca="1">SUM(OFFSET($A$127,16,1,1,12))</f>
        <v>0</v>
      </c>
    </row>
    <row r="144" spans="1:17" x14ac:dyDescent="0.2">
      <c r="O144" s="12" t="s">
        <v>59</v>
      </c>
      <c r="P144" s="7">
        <f ca="1">SUM(OFFSET($B$129,0,0,12,12))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15" width="6.28515625" style="7"/>
    <col min="16" max="17" width="7.7109375" style="7" customWidth="1"/>
    <col min="18" max="18" width="40.7109375" style="7" customWidth="1"/>
    <col min="19" max="16384" width="6.28515625" style="7"/>
  </cols>
  <sheetData>
    <row r="1" spans="1:20" x14ac:dyDescent="0.2">
      <c r="A1" s="7" t="s">
        <v>87</v>
      </c>
    </row>
    <row r="2" spans="1:20" x14ac:dyDescent="0.2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 t="s">
        <v>43</v>
      </c>
      <c r="Q2" s="7" t="s">
        <v>61</v>
      </c>
      <c r="R2" s="7" t="s">
        <v>86</v>
      </c>
      <c r="S2" s="7">
        <f ca="1">OFFSET(A1,16,15)</f>
        <v>322253.19532890001</v>
      </c>
      <c r="T2" s="7">
        <f ca="1">OFFSET(A1,17,15)</f>
        <v>279556.63715899992</v>
      </c>
    </row>
    <row r="3" spans="1:20" x14ac:dyDescent="0.2">
      <c r="A3" s="7">
        <v>1</v>
      </c>
      <c r="B3" s="7">
        <v>5758.8</v>
      </c>
      <c r="C3" s="7">
        <v>2023.1420000000001</v>
      </c>
      <c r="D3" s="7">
        <v>382.9692</v>
      </c>
      <c r="E3" s="7">
        <v>679.35019999999997</v>
      </c>
      <c r="F3" s="7">
        <v>179.50389999999999</v>
      </c>
      <c r="G3" s="7">
        <v>17.260539999999999</v>
      </c>
      <c r="H3" s="7">
        <v>42.172409999999999</v>
      </c>
      <c r="I3" s="7">
        <v>2.5737410000000001</v>
      </c>
      <c r="J3" s="7">
        <v>7.6781920000000001</v>
      </c>
      <c r="K3" s="7">
        <v>0.32651200000000002</v>
      </c>
      <c r="L3" s="7">
        <v>1.402312</v>
      </c>
      <c r="M3" s="7">
        <v>0.92454890000000001</v>
      </c>
      <c r="N3" s="7">
        <v>1.5165000000000001E-3</v>
      </c>
      <c r="O3" s="7">
        <v>1.0673200000000001E-2</v>
      </c>
      <c r="P3" s="7">
        <f ca="1">SUM(OFFSET($A$1,2,1,1,14))</f>
        <v>9096.1157456000001</v>
      </c>
      <c r="Q3" s="7">
        <f ca="1">SUM(OFFSET($A$1,2,1,1,12))</f>
        <v>9096.1035558999993</v>
      </c>
      <c r="R3" s="7" t="s">
        <v>88</v>
      </c>
      <c r="S3" s="7">
        <f ca="1">OFFSET(A1,34,15)</f>
        <v>473213.01453779999</v>
      </c>
      <c r="T3" s="7">
        <f ca="1">OFFSET(A1,35,15)</f>
        <v>412460.36681529984</v>
      </c>
    </row>
    <row r="4" spans="1:20" x14ac:dyDescent="0.2">
      <c r="A4" s="7">
        <v>2</v>
      </c>
      <c r="B4" s="7">
        <v>2025.421</v>
      </c>
      <c r="C4" s="7">
        <v>13890.29</v>
      </c>
      <c r="D4" s="7">
        <v>382.44670000000002</v>
      </c>
      <c r="E4" s="7">
        <v>1629.4829999999999</v>
      </c>
      <c r="F4" s="7">
        <v>642.75469999999996</v>
      </c>
      <c r="G4" s="7">
        <v>133.68729999999999</v>
      </c>
      <c r="H4" s="7">
        <v>93.989840000000001</v>
      </c>
      <c r="I4" s="7">
        <v>5.2586250000000003</v>
      </c>
      <c r="J4" s="7">
        <v>78.795029999999997</v>
      </c>
      <c r="K4" s="7">
        <v>1.931584</v>
      </c>
      <c r="L4" s="7">
        <v>9.0920400000000008</v>
      </c>
      <c r="M4" s="7">
        <v>4.9939239999999998</v>
      </c>
      <c r="N4" s="7">
        <v>2.2437499999999999E-2</v>
      </c>
      <c r="O4" s="7">
        <v>4.4358300000000003E-2</v>
      </c>
      <c r="P4" s="7">
        <f ca="1">SUM(OFFSET($A$1,3,1,1,14))</f>
        <v>18898.210538800002</v>
      </c>
      <c r="Q4" s="7">
        <f ca="1">SUM(OFFSET($A$1,3,1,1,12))</f>
        <v>18898.143743000001</v>
      </c>
      <c r="R4" s="7" t="s">
        <v>90</v>
      </c>
      <c r="S4" s="7">
        <f ca="1">OFFSET(A1,52,15)</f>
        <v>0</v>
      </c>
      <c r="T4" s="7">
        <f ca="1">OFFSET(A1,53,15)</f>
        <v>0</v>
      </c>
    </row>
    <row r="5" spans="1:20" x14ac:dyDescent="0.2">
      <c r="A5" s="7">
        <v>3</v>
      </c>
      <c r="B5" s="7">
        <v>599.07399999999996</v>
      </c>
      <c r="C5" s="7">
        <v>649.28</v>
      </c>
      <c r="D5" s="7">
        <v>2144.5140000000001</v>
      </c>
      <c r="E5" s="7">
        <v>6300.6670000000004</v>
      </c>
      <c r="F5" s="7">
        <v>835.24040000000002</v>
      </c>
      <c r="G5" s="7">
        <v>268.18380000000002</v>
      </c>
      <c r="H5" s="7">
        <v>489.35140000000001</v>
      </c>
      <c r="I5" s="7">
        <v>51.705779999999997</v>
      </c>
      <c r="J5" s="7">
        <v>176.62370000000001</v>
      </c>
      <c r="K5" s="7">
        <v>13.01483</v>
      </c>
      <c r="L5" s="7">
        <v>18.251950000000001</v>
      </c>
      <c r="M5" s="7">
        <v>8.9056230000000003</v>
      </c>
      <c r="N5" s="7">
        <v>2.49996E-2</v>
      </c>
      <c r="O5" s="7">
        <v>0.10910250000000001</v>
      </c>
      <c r="P5" s="7">
        <f ca="1">SUM(OFFSET($A$1,4,1,1,14))</f>
        <v>11554.946585100002</v>
      </c>
      <c r="Q5" s="7">
        <f ca="1">SUM(OFFSET($A$1,4,1,1,12))</f>
        <v>11554.812483000002</v>
      </c>
      <c r="R5" s="7" t="s">
        <v>92</v>
      </c>
      <c r="S5" s="7">
        <f ca="1">OFFSET(A1,70,15)</f>
        <v>51660.323887299986</v>
      </c>
      <c r="T5" s="7">
        <f ca="1">OFFSET(A1,71,15)</f>
        <v>49160.041670900013</v>
      </c>
    </row>
    <row r="6" spans="1:20" x14ac:dyDescent="0.2">
      <c r="A6" s="7">
        <v>4</v>
      </c>
      <c r="B6" s="7">
        <v>684.67809999999997</v>
      </c>
      <c r="C6" s="7">
        <v>1657.54</v>
      </c>
      <c r="D6" s="7">
        <v>4043.0329999999999</v>
      </c>
      <c r="E6" s="7">
        <v>36836.28</v>
      </c>
      <c r="F6" s="7">
        <v>6251.5550000000003</v>
      </c>
      <c r="G6" s="7">
        <v>967.90229999999997</v>
      </c>
      <c r="H6" s="7">
        <v>3854.9270000000001</v>
      </c>
      <c r="I6" s="7">
        <v>530.23749999999995</v>
      </c>
      <c r="J6" s="7">
        <v>929.93579999999997</v>
      </c>
      <c r="K6" s="7">
        <v>134.7628</v>
      </c>
      <c r="L6" s="7">
        <v>51.69623</v>
      </c>
      <c r="M6" s="7">
        <v>38.344189999999998</v>
      </c>
      <c r="N6" s="7">
        <v>0.12915979999999999</v>
      </c>
      <c r="O6" s="7">
        <v>0.4608932</v>
      </c>
      <c r="P6" s="7">
        <f ca="1">SUM(OFFSET($A$1,5,1,1,14))</f>
        <v>55981.481973000009</v>
      </c>
      <c r="Q6" s="7">
        <f ca="1">SUM(OFFSET($A$1,5,1,1,12))</f>
        <v>55980.891920000009</v>
      </c>
      <c r="R6" s="7" t="s">
        <v>94</v>
      </c>
      <c r="S6" s="7">
        <f ca="1">OFFSET(A1,88,15)</f>
        <v>36733.702307799998</v>
      </c>
      <c r="T6" s="7">
        <f ca="1">OFFSET(A1,89,15)</f>
        <v>36692.744324100022</v>
      </c>
    </row>
    <row r="7" spans="1:20" x14ac:dyDescent="0.2">
      <c r="A7" s="7">
        <v>5</v>
      </c>
      <c r="B7" s="7">
        <v>179.21270000000001</v>
      </c>
      <c r="C7" s="7">
        <v>657.75480000000005</v>
      </c>
      <c r="D7" s="7">
        <v>502.08170000000001</v>
      </c>
      <c r="E7" s="7">
        <v>6426.8549999999996</v>
      </c>
      <c r="F7" s="7">
        <v>19335.98</v>
      </c>
      <c r="G7" s="7">
        <v>2295.88</v>
      </c>
      <c r="H7" s="7">
        <v>738.90120000000002</v>
      </c>
      <c r="I7" s="7">
        <v>166.6644</v>
      </c>
      <c r="J7" s="7">
        <v>1442.8009999999999</v>
      </c>
      <c r="K7" s="7">
        <v>110.8582</v>
      </c>
      <c r="L7" s="7">
        <v>119.39709999999999</v>
      </c>
      <c r="M7" s="7">
        <v>181.79419999999999</v>
      </c>
      <c r="N7" s="7">
        <v>0.61466290000000001</v>
      </c>
      <c r="O7" s="7">
        <v>3.809539</v>
      </c>
      <c r="P7" s="7">
        <f ca="1">SUM(OFFSET($A$1,6,1,1,14))</f>
        <v>32162.604501900001</v>
      </c>
      <c r="Q7" s="7">
        <f ca="1">SUM(OFFSET($A$1,6,1,1,12))</f>
        <v>32158.1803</v>
      </c>
      <c r="R7" s="7" t="s">
        <v>96</v>
      </c>
      <c r="S7" s="7">
        <f ca="1">OFFSET(A1,106,15)</f>
        <v>83855.035579000003</v>
      </c>
      <c r="T7" s="7">
        <f ca="1">OFFSET(A1,107,15)</f>
        <v>78447.264606099998</v>
      </c>
    </row>
    <row r="8" spans="1:20" x14ac:dyDescent="0.2">
      <c r="A8" s="7">
        <v>6</v>
      </c>
      <c r="B8" s="7">
        <v>16.68458</v>
      </c>
      <c r="C8" s="7">
        <v>131.9391</v>
      </c>
      <c r="D8" s="7">
        <v>151.143</v>
      </c>
      <c r="E8" s="7">
        <v>949.75220000000002</v>
      </c>
      <c r="F8" s="7">
        <v>2236.8049999999998</v>
      </c>
      <c r="G8" s="7">
        <v>19774.96</v>
      </c>
      <c r="H8" s="7">
        <v>157.72200000000001</v>
      </c>
      <c r="I8" s="7">
        <v>23.880040000000001</v>
      </c>
      <c r="J8" s="7">
        <v>971.2559</v>
      </c>
      <c r="K8" s="7">
        <v>59.227899999999998</v>
      </c>
      <c r="L8" s="7">
        <v>1085.8440000000001</v>
      </c>
      <c r="M8" s="7">
        <v>269.22039999999998</v>
      </c>
      <c r="N8" s="7">
        <v>6.1037509999999999</v>
      </c>
      <c r="O8" s="7">
        <v>9.1566740000000006</v>
      </c>
      <c r="P8" s="7">
        <f ca="1">SUM(OFFSET($A$1,7,1,1,14))</f>
        <v>25843.694545000002</v>
      </c>
      <c r="Q8" s="7">
        <f ca="1">SUM(OFFSET($A$1,7,1,1,12))</f>
        <v>25828.434120000002</v>
      </c>
      <c r="R8" s="7" t="s">
        <v>98</v>
      </c>
      <c r="S8" s="7">
        <f ca="1">OFFSET(A1,124,15)</f>
        <v>16475.816243700003</v>
      </c>
      <c r="T8" s="7">
        <f ca="1">OFFSET(A1,125,15)</f>
        <v>16020.094627900005</v>
      </c>
    </row>
    <row r="9" spans="1:20" x14ac:dyDescent="0.2">
      <c r="A9" s="7">
        <v>7</v>
      </c>
      <c r="B9" s="7">
        <v>41.866329999999998</v>
      </c>
      <c r="C9" s="7">
        <v>96.137900000000002</v>
      </c>
      <c r="D9" s="7">
        <v>303.755</v>
      </c>
      <c r="E9" s="7">
        <v>3902.8789999999999</v>
      </c>
      <c r="F9" s="7">
        <v>736.85149999999999</v>
      </c>
      <c r="G9" s="7">
        <v>162.06979999999999</v>
      </c>
      <c r="H9" s="7">
        <v>18809.150000000001</v>
      </c>
      <c r="I9" s="7">
        <v>707.06899999999996</v>
      </c>
      <c r="J9" s="7">
        <v>561.02760000000001</v>
      </c>
      <c r="K9" s="7">
        <v>188.33279999999999</v>
      </c>
      <c r="L9" s="7">
        <v>3.078446</v>
      </c>
      <c r="M9" s="7">
        <v>25.33691</v>
      </c>
      <c r="N9" s="7">
        <v>1.50975E-2</v>
      </c>
      <c r="O9" s="7">
        <v>0.15345039999999999</v>
      </c>
      <c r="P9" s="7">
        <f ca="1">SUM(OFFSET($A$1,8,1,1,14))</f>
        <v>25537.722833900003</v>
      </c>
      <c r="Q9" s="7">
        <f ca="1">SUM(OFFSET($A$1,8,1,1,12))</f>
        <v>25537.554286000002</v>
      </c>
      <c r="R9" s="7" t="s">
        <v>100</v>
      </c>
      <c r="S9" s="7">
        <f ca="1">OFFSET(A1,142,15)</f>
        <v>0</v>
      </c>
      <c r="T9" s="7">
        <f ca="1">OFFSET(A1,143,15)</f>
        <v>0</v>
      </c>
    </row>
    <row r="10" spans="1:20" x14ac:dyDescent="0.2">
      <c r="A10" s="7">
        <v>8</v>
      </c>
      <c r="B10" s="7">
        <v>2.4367070000000002</v>
      </c>
      <c r="C10" s="7">
        <v>5.1097200000000003</v>
      </c>
      <c r="D10" s="7">
        <v>29.59684</v>
      </c>
      <c r="E10" s="7">
        <v>510.56920000000002</v>
      </c>
      <c r="F10" s="7">
        <v>161.09350000000001</v>
      </c>
      <c r="G10" s="7">
        <v>23.750129999999999</v>
      </c>
      <c r="H10" s="7">
        <v>688.78139999999996</v>
      </c>
      <c r="I10" s="7">
        <v>5485.5389999999998</v>
      </c>
      <c r="J10" s="7">
        <v>728.23239999999998</v>
      </c>
      <c r="K10" s="7">
        <v>180.88509999999999</v>
      </c>
      <c r="L10" s="7">
        <v>1.2539260000000001</v>
      </c>
      <c r="M10" s="7">
        <v>33.043790000000001</v>
      </c>
      <c r="N10" s="7">
        <v>4.3150999999999997E-3</v>
      </c>
      <c r="O10" s="7">
        <v>0.13801330000000001</v>
      </c>
      <c r="P10" s="7">
        <f ca="1">SUM(OFFSET($A$1,9,1,1,14))</f>
        <v>7850.4340413999998</v>
      </c>
      <c r="Q10" s="7">
        <f ca="1">SUM(OFFSET($A$1,9,1,1,12))</f>
        <v>7850.2917129999996</v>
      </c>
    </row>
    <row r="11" spans="1:20" x14ac:dyDescent="0.2">
      <c r="A11" s="7">
        <v>9</v>
      </c>
      <c r="B11" s="7">
        <v>7.3651600000000004</v>
      </c>
      <c r="C11" s="7">
        <v>77.56026</v>
      </c>
      <c r="D11" s="7">
        <v>97.604489999999998</v>
      </c>
      <c r="E11" s="7">
        <v>913.57820000000004</v>
      </c>
      <c r="F11" s="7">
        <v>1387.22</v>
      </c>
      <c r="G11" s="7">
        <v>967.2038</v>
      </c>
      <c r="H11" s="7">
        <v>543.06389999999999</v>
      </c>
      <c r="I11" s="7">
        <v>730.65470000000005</v>
      </c>
      <c r="J11" s="7">
        <v>34457.269999999997</v>
      </c>
      <c r="K11" s="7">
        <v>2045.058</v>
      </c>
      <c r="L11" s="7">
        <v>238.67500000000001</v>
      </c>
      <c r="M11" s="7">
        <v>3605.9050000000002</v>
      </c>
      <c r="N11" s="7">
        <v>2.7372169999999998</v>
      </c>
      <c r="O11" s="7">
        <v>162.39930000000001</v>
      </c>
      <c r="P11" s="7">
        <f ca="1">SUM(OFFSET($A$1,10,1,1,14))</f>
        <v>45236.295026999993</v>
      </c>
      <c r="Q11" s="7">
        <f ca="1">SUM(OFFSET($A$1,10,1,1,12))</f>
        <v>45071.158509999994</v>
      </c>
    </row>
    <row r="12" spans="1:20" x14ac:dyDescent="0.2">
      <c r="A12" s="7">
        <v>10</v>
      </c>
      <c r="B12" s="7">
        <v>0.3134979</v>
      </c>
      <c r="C12" s="7">
        <v>1.889089</v>
      </c>
      <c r="D12" s="7">
        <v>7.541283</v>
      </c>
      <c r="E12" s="7">
        <v>131.07050000000001</v>
      </c>
      <c r="F12" s="7">
        <v>105.5902</v>
      </c>
      <c r="G12" s="7">
        <v>58.217799999999997</v>
      </c>
      <c r="H12" s="7">
        <v>181.86199999999999</v>
      </c>
      <c r="I12" s="7">
        <v>180.36699999999999</v>
      </c>
      <c r="J12" s="7">
        <v>2029.4349999999999</v>
      </c>
      <c r="K12" s="7">
        <v>10567.82</v>
      </c>
      <c r="L12" s="7">
        <v>4.3467859999999998</v>
      </c>
      <c r="M12" s="7">
        <v>875.98389999999995</v>
      </c>
      <c r="N12" s="7">
        <v>0.20090179999999999</v>
      </c>
      <c r="O12" s="7">
        <v>16.629200000000001</v>
      </c>
      <c r="P12" s="7">
        <f ca="1">SUM(OFFSET($A$1,11,1,1,14))</f>
        <v>14161.2671577</v>
      </c>
      <c r="Q12" s="7">
        <f ca="1">SUM(OFFSET($A$1,11,1,1,12))</f>
        <v>14144.4370559</v>
      </c>
    </row>
    <row r="13" spans="1:20" x14ac:dyDescent="0.2">
      <c r="A13" s="7">
        <v>11</v>
      </c>
      <c r="B13" s="7">
        <v>1.355612</v>
      </c>
      <c r="C13" s="7">
        <v>8.9071650000000009</v>
      </c>
      <c r="D13" s="7">
        <v>11.042719999999999</v>
      </c>
      <c r="E13" s="7">
        <v>50.173270000000002</v>
      </c>
      <c r="F13" s="7">
        <v>115.9555</v>
      </c>
      <c r="G13" s="7">
        <v>1014.169</v>
      </c>
      <c r="H13" s="7">
        <v>2.99057</v>
      </c>
      <c r="I13" s="7">
        <v>1.2620020000000001</v>
      </c>
      <c r="J13" s="7">
        <v>233.97200000000001</v>
      </c>
      <c r="K13" s="7">
        <v>4.2653949999999998</v>
      </c>
      <c r="L13" s="7">
        <v>10315.719999999999</v>
      </c>
      <c r="M13" s="7">
        <v>286.58120000000002</v>
      </c>
      <c r="N13" s="7">
        <v>318.26100000000002</v>
      </c>
      <c r="O13" s="7">
        <v>150.32169999999999</v>
      </c>
      <c r="P13" s="7">
        <f ca="1">SUM(OFFSET($A$1,12,1,1,14))</f>
        <v>12514.977134000001</v>
      </c>
      <c r="Q13" s="7">
        <f ca="1">SUM(OFFSET($A$1,12,1,1,12))</f>
        <v>12046.394434</v>
      </c>
    </row>
    <row r="14" spans="1:20" x14ac:dyDescent="0.2">
      <c r="A14" s="7">
        <v>12</v>
      </c>
      <c r="B14" s="7">
        <v>0.90194920000000001</v>
      </c>
      <c r="C14" s="7">
        <v>4.9409080000000003</v>
      </c>
      <c r="D14" s="7">
        <v>5.5690109999999997</v>
      </c>
      <c r="E14" s="7">
        <v>37.534190000000002</v>
      </c>
      <c r="F14" s="7">
        <v>177.6506</v>
      </c>
      <c r="G14" s="7">
        <v>263.5625</v>
      </c>
      <c r="H14" s="7">
        <v>24.995349999999998</v>
      </c>
      <c r="I14" s="7">
        <v>33.365630000000003</v>
      </c>
      <c r="J14" s="7">
        <v>3621.2489999999998</v>
      </c>
      <c r="K14" s="7">
        <v>880.42520000000002</v>
      </c>
      <c r="L14" s="7">
        <v>288.2407</v>
      </c>
      <c r="M14" s="7">
        <v>16051.8</v>
      </c>
      <c r="N14" s="7">
        <v>46.518920000000001</v>
      </c>
      <c r="O14" s="7">
        <v>1129.2639999999999</v>
      </c>
      <c r="P14" s="7">
        <f ca="1">SUM(OFFSET($A$1,13,1,1,14))</f>
        <v>22566.017958199998</v>
      </c>
      <c r="Q14" s="7">
        <f ca="1">SUM(OFFSET($A$1,13,1,1,12))</f>
        <v>21390.2350382</v>
      </c>
    </row>
    <row r="15" spans="1:20" x14ac:dyDescent="0.2">
      <c r="A15" s="7">
        <v>13</v>
      </c>
      <c r="B15" s="7">
        <v>1.4599999999999999E-3</v>
      </c>
      <c r="C15" s="7">
        <v>2.1518800000000001E-2</v>
      </c>
      <c r="D15" s="7">
        <v>1.7094999999999999E-2</v>
      </c>
      <c r="E15" s="7">
        <v>0.122254</v>
      </c>
      <c r="F15" s="7">
        <v>0.57883960000000001</v>
      </c>
      <c r="G15" s="7">
        <v>5.7924350000000002</v>
      </c>
      <c r="H15" s="7">
        <v>1.45497E-2</v>
      </c>
      <c r="I15" s="7">
        <v>4.2147E-3</v>
      </c>
      <c r="J15" s="7">
        <v>2.648927</v>
      </c>
      <c r="K15" s="7">
        <v>0.2003336</v>
      </c>
      <c r="L15" s="7">
        <v>313.40309999999999</v>
      </c>
      <c r="M15" s="7">
        <v>46.175919999999998</v>
      </c>
      <c r="N15" s="7">
        <v>4868.7139999999999</v>
      </c>
      <c r="O15" s="7">
        <v>1173.654</v>
      </c>
      <c r="P15" s="7">
        <f ca="1">SUM(OFFSET($A$1,14,1,1,14))</f>
        <v>6411.3486474000001</v>
      </c>
      <c r="Q15" s="7">
        <f ca="1">SUM(OFFSET($A$1,14,1,1,12))</f>
        <v>368.98064740000001</v>
      </c>
    </row>
    <row r="16" spans="1:20" x14ac:dyDescent="0.2">
      <c r="A16" s="7">
        <v>14</v>
      </c>
      <c r="B16" s="7">
        <v>1.0539099999999999E-2</v>
      </c>
      <c r="C16" s="7">
        <v>4.3517E-2</v>
      </c>
      <c r="D16" s="7">
        <v>6.9379700000000002E-2</v>
      </c>
      <c r="E16" s="7">
        <v>0.44125910000000002</v>
      </c>
      <c r="F16" s="7">
        <v>3.7671570000000001</v>
      </c>
      <c r="G16" s="7">
        <v>8.683109</v>
      </c>
      <c r="H16" s="7">
        <v>0.15146560000000001</v>
      </c>
      <c r="I16" s="7">
        <v>0.13813339999999999</v>
      </c>
      <c r="J16" s="7">
        <v>160.82919999999999</v>
      </c>
      <c r="K16" s="7">
        <v>16.579979999999999</v>
      </c>
      <c r="L16" s="7">
        <v>146.33789999999999</v>
      </c>
      <c r="M16" s="7">
        <v>1126.8</v>
      </c>
      <c r="N16" s="7">
        <v>1174.6769999999999</v>
      </c>
      <c r="O16" s="7">
        <v>31799.55</v>
      </c>
      <c r="P16" s="7">
        <f ca="1">SUM(OFFSET($A$1,15,1,1,14))</f>
        <v>34438.078639899999</v>
      </c>
      <c r="Q16" s="7">
        <f ca="1">SUM(OFFSET($A$1,15,1,1,12))</f>
        <v>1463.8516399</v>
      </c>
    </row>
    <row r="17" spans="1:17" x14ac:dyDescent="0.2">
      <c r="A17" s="7" t="s">
        <v>43</v>
      </c>
      <c r="B17" s="7">
        <f ca="1">SUM(OFFSET($A$1,2,1,14,1))</f>
        <v>9318.1216351999992</v>
      </c>
      <c r="C17" s="7">
        <f ca="1">SUM(OFFSET($A$1,2,2,14,1))</f>
        <v>19204.555977799999</v>
      </c>
      <c r="D17" s="7">
        <f ca="1">SUM(OFFSET($A$1,2,3,14,1))</f>
        <v>8061.3834187000002</v>
      </c>
      <c r="E17" s="7">
        <f ca="1">SUM(OFFSET($A$1,2,4,14,1))</f>
        <v>58368.755273100011</v>
      </c>
      <c r="F17" s="7">
        <f ca="1">SUM(OFFSET($A$1,2,5,14,1))</f>
        <v>32170.546296599998</v>
      </c>
      <c r="G17" s="7">
        <f ca="1">SUM(OFFSET($A$1,2,6,14,1))</f>
        <v>25961.322514</v>
      </c>
      <c r="H17" s="7">
        <f ca="1">SUM(OFFSET($A$1,2,7,14,1))</f>
        <v>25628.073085300006</v>
      </c>
      <c r="I17" s="7">
        <f ca="1">SUM(OFFSET($A$1,2,8,14,1))</f>
        <v>7918.7197661000009</v>
      </c>
      <c r="J17" s="7">
        <f ca="1">SUM(OFFSET($A$1,2,9,14,1))</f>
        <v>45401.753749000003</v>
      </c>
      <c r="K17" s="7">
        <f ca="1">SUM(OFFSET($A$1,2,10,14,1))</f>
        <v>14203.688634599999</v>
      </c>
      <c r="L17" s="7">
        <f ca="1">SUM(OFFSET($A$1,2,11,14,1))</f>
        <v>12596.73949</v>
      </c>
      <c r="M17" s="7">
        <f ca="1">SUM(OFFSET($A$1,2,12,14,1))</f>
        <v>22555.809605899998</v>
      </c>
      <c r="N17" s="7">
        <f ca="1">SUM(OFFSET($A$1,2,13,14,1))</f>
        <v>6418.0249786999993</v>
      </c>
      <c r="O17" s="7">
        <f ca="1">SUM(OFFSET($A$1,2,14,14,1))</f>
        <v>34445.700903899997</v>
      </c>
      <c r="P17" s="7">
        <f ca="1">SUM(OFFSET($A$1,16,1,1,14))</f>
        <v>322253.19532890001</v>
      </c>
      <c r="Q17" s="7">
        <f ca="1">SUM(OFFSET($A$1,16,1,1,12))</f>
        <v>281389.46944630001</v>
      </c>
    </row>
    <row r="18" spans="1:17" x14ac:dyDescent="0.2">
      <c r="O18" s="12" t="s">
        <v>59</v>
      </c>
      <c r="P18" s="7">
        <f ca="1">SUM(OFFSET($B$3,0,0,12,12))</f>
        <v>279556.63715899992</v>
      </c>
    </row>
    <row r="19" spans="1:17" x14ac:dyDescent="0.2">
      <c r="A19" s="7" t="s">
        <v>89</v>
      </c>
    </row>
    <row r="20" spans="1:17" x14ac:dyDescent="0.2">
      <c r="B20" s="7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 t="s">
        <v>43</v>
      </c>
      <c r="Q20" s="7" t="s">
        <v>61</v>
      </c>
    </row>
    <row r="21" spans="1:17" x14ac:dyDescent="0.2">
      <c r="A21" s="7">
        <v>1</v>
      </c>
      <c r="B21" s="7">
        <v>8582.9459999999999</v>
      </c>
      <c r="C21" s="7">
        <v>3101.0630000000001</v>
      </c>
      <c r="D21" s="7">
        <v>908.1626</v>
      </c>
      <c r="E21" s="7">
        <v>865.36739999999998</v>
      </c>
      <c r="F21" s="7">
        <v>303.9708</v>
      </c>
      <c r="G21" s="7">
        <v>31.508590000000002</v>
      </c>
      <c r="H21" s="7">
        <v>73.465739999999997</v>
      </c>
      <c r="I21" s="7">
        <v>4.9084339999999997</v>
      </c>
      <c r="J21" s="7">
        <v>15.021380000000001</v>
      </c>
      <c r="K21" s="7">
        <v>0.71274470000000001</v>
      </c>
      <c r="L21" s="7">
        <v>2.6159029999999999</v>
      </c>
      <c r="M21" s="7">
        <v>1.7405299999999999</v>
      </c>
      <c r="N21" s="7">
        <v>3.4729000000000001E-3</v>
      </c>
      <c r="O21" s="7">
        <v>2.56802E-2</v>
      </c>
      <c r="P21" s="7">
        <f ca="1">SUM(OFFSET($A$19,2,1,1,14))</f>
        <v>13891.512274799998</v>
      </c>
      <c r="Q21" s="7">
        <f ca="1">SUM(OFFSET($A$19,2,1,1,12))</f>
        <v>13891.483121699997</v>
      </c>
    </row>
    <row r="22" spans="1:17" x14ac:dyDescent="0.2">
      <c r="A22" s="7">
        <v>2</v>
      </c>
      <c r="B22" s="7">
        <v>3081.6089999999999</v>
      </c>
      <c r="C22" s="7">
        <v>20509.5</v>
      </c>
      <c r="D22" s="7">
        <v>908.02819999999997</v>
      </c>
      <c r="E22" s="7">
        <v>2036.231</v>
      </c>
      <c r="F22" s="7">
        <v>1017.3440000000001</v>
      </c>
      <c r="G22" s="7">
        <v>228.59989999999999</v>
      </c>
      <c r="H22" s="7">
        <v>163.2328</v>
      </c>
      <c r="I22" s="7">
        <v>9.9541730000000008</v>
      </c>
      <c r="J22" s="7">
        <v>144.40119999999999</v>
      </c>
      <c r="K22" s="7">
        <v>3.9608569999999999</v>
      </c>
      <c r="L22" s="7">
        <v>15.88256</v>
      </c>
      <c r="M22" s="7">
        <v>8.8363929999999993</v>
      </c>
      <c r="N22" s="7">
        <v>4.8248199999999998E-2</v>
      </c>
      <c r="O22" s="7">
        <v>9.9643800000000005E-2</v>
      </c>
      <c r="P22" s="7">
        <f ca="1">SUM(OFFSET($A$19,3,1,1,14))</f>
        <v>28127.727975000002</v>
      </c>
      <c r="Q22" s="7">
        <f ca="1">SUM(OFFSET($A$19,3,1,1,12))</f>
        <v>28127.580083000001</v>
      </c>
    </row>
    <row r="23" spans="1:17" x14ac:dyDescent="0.2">
      <c r="A23" s="7">
        <v>3</v>
      </c>
      <c r="B23" s="7">
        <v>1053.7270000000001</v>
      </c>
      <c r="C23" s="7">
        <v>1139.095</v>
      </c>
      <c r="D23" s="7">
        <v>3531.123</v>
      </c>
      <c r="E23" s="7">
        <v>8329.4429999999993</v>
      </c>
      <c r="F23" s="7">
        <v>1459.473</v>
      </c>
      <c r="G23" s="7">
        <v>506.31220000000002</v>
      </c>
      <c r="H23" s="7">
        <v>898.65390000000002</v>
      </c>
      <c r="I23" s="7">
        <v>103.2958</v>
      </c>
      <c r="J23" s="7">
        <v>359.57</v>
      </c>
      <c r="K23" s="7">
        <v>29.537489999999998</v>
      </c>
      <c r="L23" s="7">
        <v>35.360250000000001</v>
      </c>
      <c r="M23" s="7">
        <v>17.361979999999999</v>
      </c>
      <c r="N23" s="7">
        <v>6.0450700000000003E-2</v>
      </c>
      <c r="O23" s="7">
        <v>0.27700629999999998</v>
      </c>
      <c r="P23" s="7">
        <f ca="1">SUM(OFFSET($A$19,4,1,1,14))</f>
        <v>17463.290076999998</v>
      </c>
      <c r="Q23" s="7">
        <f ca="1">SUM(OFFSET($A$19,4,1,1,12))</f>
        <v>17462.95262</v>
      </c>
    </row>
    <row r="24" spans="1:17" x14ac:dyDescent="0.2">
      <c r="A24" s="7">
        <v>4</v>
      </c>
      <c r="B24" s="7">
        <v>815.923</v>
      </c>
      <c r="C24" s="7">
        <v>1986.8140000000001</v>
      </c>
      <c r="D24" s="7">
        <v>6864.5940000000001</v>
      </c>
      <c r="E24" s="7">
        <v>57695.92</v>
      </c>
      <c r="F24" s="7">
        <v>7350.2259999999997</v>
      </c>
      <c r="G24" s="7">
        <v>1224.6600000000001</v>
      </c>
      <c r="H24" s="7">
        <v>4646.9960000000001</v>
      </c>
      <c r="I24" s="7">
        <v>697.53819999999996</v>
      </c>
      <c r="J24" s="7">
        <v>1249.663</v>
      </c>
      <c r="K24" s="7">
        <v>200.1138</v>
      </c>
      <c r="L24" s="7">
        <v>66.577770000000001</v>
      </c>
      <c r="M24" s="7">
        <v>49.903570000000002</v>
      </c>
      <c r="N24" s="7">
        <v>0.2049272</v>
      </c>
      <c r="O24" s="7">
        <v>0.76249769999999994</v>
      </c>
      <c r="P24" s="7">
        <f ca="1">SUM(OFFSET($A$19,5,1,1,14))</f>
        <v>82849.896764899997</v>
      </c>
      <c r="Q24" s="7">
        <f ca="1">SUM(OFFSET($A$19,5,1,1,12))</f>
        <v>82848.929340000002</v>
      </c>
    </row>
    <row r="25" spans="1:17" x14ac:dyDescent="0.2">
      <c r="A25" s="7">
        <v>5</v>
      </c>
      <c r="B25" s="7">
        <v>294.7192</v>
      </c>
      <c r="C25" s="7">
        <v>1014.978</v>
      </c>
      <c r="D25" s="7">
        <v>1194.6890000000001</v>
      </c>
      <c r="E25" s="7">
        <v>7557.7359999999999</v>
      </c>
      <c r="F25" s="7">
        <v>28160.41</v>
      </c>
      <c r="G25" s="7">
        <v>3471.0889999999999</v>
      </c>
      <c r="H25" s="7">
        <v>1166.922</v>
      </c>
      <c r="I25" s="7">
        <v>266.09230000000002</v>
      </c>
      <c r="J25" s="7">
        <v>2236.558</v>
      </c>
      <c r="K25" s="7">
        <v>193.18</v>
      </c>
      <c r="L25" s="7">
        <v>182.18989999999999</v>
      </c>
      <c r="M25" s="7">
        <v>277.92559999999997</v>
      </c>
      <c r="N25" s="7">
        <v>1.1608620000000001</v>
      </c>
      <c r="O25" s="7">
        <v>7.3933669999999996</v>
      </c>
      <c r="P25" s="7">
        <f ca="1">SUM(OFFSET($A$19,6,1,1,14))</f>
        <v>46025.043228999988</v>
      </c>
      <c r="Q25" s="7">
        <f ca="1">SUM(OFFSET($A$19,6,1,1,12))</f>
        <v>46016.488999999994</v>
      </c>
    </row>
    <row r="26" spans="1:17" x14ac:dyDescent="0.2">
      <c r="A26" s="7">
        <v>6</v>
      </c>
      <c r="B26" s="7">
        <v>30.304839999999999</v>
      </c>
      <c r="C26" s="7">
        <v>225.70910000000001</v>
      </c>
      <c r="D26" s="7">
        <v>399.35059999999999</v>
      </c>
      <c r="E26" s="7">
        <v>1250.9100000000001</v>
      </c>
      <c r="F26" s="7">
        <v>3425.6619999999998</v>
      </c>
      <c r="G26" s="7">
        <v>29448.49</v>
      </c>
      <c r="H26" s="7">
        <v>272.75740000000002</v>
      </c>
      <c r="I26" s="7">
        <v>40.806719999999999</v>
      </c>
      <c r="J26" s="7">
        <v>1559.557</v>
      </c>
      <c r="K26" s="7">
        <v>105.8079</v>
      </c>
      <c r="L26" s="7">
        <v>1556.327</v>
      </c>
      <c r="M26" s="7">
        <v>415.10680000000002</v>
      </c>
      <c r="N26" s="7">
        <v>10.70363</v>
      </c>
      <c r="O26" s="7">
        <v>17.553830000000001</v>
      </c>
      <c r="P26" s="7">
        <f ca="1">SUM(OFFSET($A$19,7,1,1,14))</f>
        <v>38759.046820000003</v>
      </c>
      <c r="Q26" s="7">
        <f ca="1">SUM(OFFSET($A$19,7,1,1,12))</f>
        <v>38730.789360000002</v>
      </c>
    </row>
    <row r="27" spans="1:17" x14ac:dyDescent="0.2">
      <c r="A27" s="7">
        <v>7</v>
      </c>
      <c r="B27" s="7">
        <v>71.900570000000002</v>
      </c>
      <c r="C27" s="7">
        <v>165.47559999999999</v>
      </c>
      <c r="D27" s="7">
        <v>761.73760000000004</v>
      </c>
      <c r="E27" s="7">
        <v>4798.1059999999998</v>
      </c>
      <c r="F27" s="7">
        <v>1187.4680000000001</v>
      </c>
      <c r="G27" s="7">
        <v>280.2792</v>
      </c>
      <c r="H27" s="7">
        <v>28294.48</v>
      </c>
      <c r="I27" s="7">
        <v>1143.0740000000001</v>
      </c>
      <c r="J27" s="7">
        <v>959.12350000000004</v>
      </c>
      <c r="K27" s="7">
        <v>343.70909999999998</v>
      </c>
      <c r="L27" s="7">
        <v>5.3594889999999999</v>
      </c>
      <c r="M27" s="7">
        <v>43.129829999999998</v>
      </c>
      <c r="N27" s="7">
        <v>3.2318300000000001E-2</v>
      </c>
      <c r="O27" s="7">
        <v>0.33523940000000002</v>
      </c>
      <c r="P27" s="7">
        <f ca="1">SUM(OFFSET($A$19,8,1,1,14))</f>
        <v>38054.210446700003</v>
      </c>
      <c r="Q27" s="7">
        <f ca="1">SUM(OFFSET($A$19,8,1,1,12))</f>
        <v>38053.842889</v>
      </c>
    </row>
    <row r="28" spans="1:17" x14ac:dyDescent="0.2">
      <c r="A28" s="7">
        <v>8</v>
      </c>
      <c r="B28" s="7">
        <v>4.7753800000000002</v>
      </c>
      <c r="C28" s="7">
        <v>9.9473280000000006</v>
      </c>
      <c r="D28" s="7">
        <v>84.349029999999999</v>
      </c>
      <c r="E28" s="7">
        <v>713.56560000000002</v>
      </c>
      <c r="F28" s="7">
        <v>267.54899999999998</v>
      </c>
      <c r="G28" s="7">
        <v>41.39837</v>
      </c>
      <c r="H28" s="7">
        <v>1158.93</v>
      </c>
      <c r="I28" s="7">
        <v>8350.3330000000005</v>
      </c>
      <c r="J28" s="7">
        <v>1218.951</v>
      </c>
      <c r="K28" s="7">
        <v>322.01780000000002</v>
      </c>
      <c r="L28" s="7">
        <v>2.2014879999999999</v>
      </c>
      <c r="M28" s="7">
        <v>54.893799999999999</v>
      </c>
      <c r="N28" s="7">
        <v>9.6033999999999998E-3</v>
      </c>
      <c r="O28" s="7">
        <v>0.29152230000000001</v>
      </c>
      <c r="P28" s="7">
        <f ca="1">SUM(OFFSET($A$19,9,1,1,14))</f>
        <v>12229.212921700002</v>
      </c>
      <c r="Q28" s="7">
        <f ca="1">SUM(OFFSET($A$19,9,1,1,12))</f>
        <v>12228.911796000002</v>
      </c>
    </row>
    <row r="29" spans="1:17" x14ac:dyDescent="0.2">
      <c r="A29" s="7">
        <v>9</v>
      </c>
      <c r="B29" s="7">
        <v>14.28866</v>
      </c>
      <c r="C29" s="7">
        <v>141.85650000000001</v>
      </c>
      <c r="D29" s="7">
        <v>277.03899999999999</v>
      </c>
      <c r="E29" s="7">
        <v>1262.229</v>
      </c>
      <c r="F29" s="7">
        <v>2187.8519999999999</v>
      </c>
      <c r="G29" s="7">
        <v>1542.66</v>
      </c>
      <c r="H29" s="7">
        <v>927.33439999999996</v>
      </c>
      <c r="I29" s="7">
        <v>1199.1389999999999</v>
      </c>
      <c r="J29" s="7">
        <v>51949.01</v>
      </c>
      <c r="K29" s="7">
        <v>3301.029</v>
      </c>
      <c r="L29" s="7">
        <v>380.74200000000002</v>
      </c>
      <c r="M29" s="7">
        <v>5041.4539999999997</v>
      </c>
      <c r="N29" s="7">
        <v>5.0688250000000004</v>
      </c>
      <c r="O29" s="7">
        <v>282.40140000000002</v>
      </c>
      <c r="P29" s="7">
        <f ca="1">SUM(OFFSET($A$19,10,1,1,14))</f>
        <v>68512.103784999999</v>
      </c>
      <c r="Q29" s="7">
        <f ca="1">SUM(OFFSET($A$19,10,1,1,12))</f>
        <v>68224.633560000002</v>
      </c>
    </row>
    <row r="30" spans="1:17" x14ac:dyDescent="0.2">
      <c r="A30" s="7">
        <v>10</v>
      </c>
      <c r="B30" s="7">
        <v>0.68824960000000002</v>
      </c>
      <c r="C30" s="7">
        <v>3.9245860000000001</v>
      </c>
      <c r="D30" s="7">
        <v>24.113600000000002</v>
      </c>
      <c r="E30" s="7">
        <v>203.74879999999999</v>
      </c>
      <c r="F30" s="7">
        <v>190.39920000000001</v>
      </c>
      <c r="G30" s="7">
        <v>105.39570000000001</v>
      </c>
      <c r="H30" s="7">
        <v>338.51940000000002</v>
      </c>
      <c r="I30" s="7">
        <v>319.94729999999998</v>
      </c>
      <c r="J30" s="7">
        <v>3309.0839999999998</v>
      </c>
      <c r="K30" s="7">
        <v>15790.64</v>
      </c>
      <c r="L30" s="7">
        <v>7.8633050000000004</v>
      </c>
      <c r="M30" s="7">
        <v>1275.075</v>
      </c>
      <c r="N30" s="7">
        <v>0.39238000000000001</v>
      </c>
      <c r="O30" s="7">
        <v>29.272780000000001</v>
      </c>
      <c r="P30" s="7">
        <f ca="1">SUM(OFFSET($A$19,11,1,1,14))</f>
        <v>21599.064300599999</v>
      </c>
      <c r="Q30" s="7">
        <f ca="1">SUM(OFFSET($A$19,11,1,1,12))</f>
        <v>21569.399140599999</v>
      </c>
    </row>
    <row r="31" spans="1:17" x14ac:dyDescent="0.2">
      <c r="A31" s="7">
        <v>11</v>
      </c>
      <c r="B31" s="7">
        <v>2.5623040000000001</v>
      </c>
      <c r="C31" s="7">
        <v>15.870570000000001</v>
      </c>
      <c r="D31" s="7">
        <v>30.253630000000001</v>
      </c>
      <c r="E31" s="7">
        <v>68.665430000000001</v>
      </c>
      <c r="F31" s="7">
        <v>183.3306</v>
      </c>
      <c r="G31" s="7">
        <v>1463.3009999999999</v>
      </c>
      <c r="H31" s="7">
        <v>5.3144619999999998</v>
      </c>
      <c r="I31" s="7">
        <v>2.2221470000000001</v>
      </c>
      <c r="J31" s="7">
        <v>380.0197</v>
      </c>
      <c r="K31" s="7">
        <v>7.6916919999999998</v>
      </c>
      <c r="L31" s="7">
        <v>13914.63</v>
      </c>
      <c r="M31" s="7">
        <v>457.43830000000003</v>
      </c>
      <c r="N31" s="7">
        <v>486.3372</v>
      </c>
      <c r="O31" s="7">
        <v>257.19170000000003</v>
      </c>
      <c r="P31" s="7">
        <f ca="1">SUM(OFFSET($A$19,12,1,1,14))</f>
        <v>17274.828735000003</v>
      </c>
      <c r="Q31" s="7">
        <f ca="1">SUM(OFFSET($A$19,12,1,1,12))</f>
        <v>16531.299835000002</v>
      </c>
    </row>
    <row r="32" spans="1:17" x14ac:dyDescent="0.2">
      <c r="A32" s="7">
        <v>12</v>
      </c>
      <c r="B32" s="7">
        <v>1.706272</v>
      </c>
      <c r="C32" s="7">
        <v>8.8358179999999997</v>
      </c>
      <c r="D32" s="7">
        <v>15.29255</v>
      </c>
      <c r="E32" s="7">
        <v>51.333730000000003</v>
      </c>
      <c r="F32" s="7">
        <v>278.72640000000001</v>
      </c>
      <c r="G32" s="7">
        <v>407.68900000000002</v>
      </c>
      <c r="H32" s="7">
        <v>42.779029999999999</v>
      </c>
      <c r="I32" s="7">
        <v>54.516469999999998</v>
      </c>
      <c r="J32" s="7">
        <v>5043.8639999999996</v>
      </c>
      <c r="K32" s="7">
        <v>1272.7850000000001</v>
      </c>
      <c r="L32" s="7">
        <v>454.80779999999999</v>
      </c>
      <c r="M32" s="7">
        <v>21141.72</v>
      </c>
      <c r="N32" s="7">
        <v>75.421170000000004</v>
      </c>
      <c r="O32" s="7">
        <v>1693.34</v>
      </c>
      <c r="P32" s="7">
        <f ca="1">SUM(OFFSET($A$19,13,1,1,14))</f>
        <v>30542.81724</v>
      </c>
      <c r="Q32" s="7">
        <f ca="1">SUM(OFFSET($A$19,13,1,1,12))</f>
        <v>28774.056069999999</v>
      </c>
    </row>
    <row r="33" spans="1:17" x14ac:dyDescent="0.2">
      <c r="A33" s="7">
        <v>13</v>
      </c>
      <c r="B33" s="7">
        <v>3.3949000000000002E-3</v>
      </c>
      <c r="C33" s="7">
        <v>4.7159800000000002E-2</v>
      </c>
      <c r="D33" s="7">
        <v>5.7955899999999998E-2</v>
      </c>
      <c r="E33" s="7">
        <v>0.20569899999999999</v>
      </c>
      <c r="F33" s="7">
        <v>1.1289910000000001</v>
      </c>
      <c r="G33" s="7">
        <v>10.24869</v>
      </c>
      <c r="H33" s="7">
        <v>3.1863500000000003E-2</v>
      </c>
      <c r="I33" s="7">
        <v>9.3326999999999993E-3</v>
      </c>
      <c r="J33" s="7">
        <v>4.9360889999999999</v>
      </c>
      <c r="K33" s="7">
        <v>0.39294820000000003</v>
      </c>
      <c r="L33" s="7">
        <v>477.05970000000002</v>
      </c>
      <c r="M33" s="7">
        <v>74.566299999999998</v>
      </c>
      <c r="N33" s="7">
        <v>6772.4009999999998</v>
      </c>
      <c r="O33" s="7">
        <v>1787.8969999999999</v>
      </c>
      <c r="P33" s="7">
        <f ca="1">SUM(OFFSET($A$19,14,1,1,14))</f>
        <v>9128.9861239999991</v>
      </c>
      <c r="Q33" s="7">
        <f ca="1">SUM(OFFSET($A$19,14,1,1,12))</f>
        <v>568.68812400000002</v>
      </c>
    </row>
    <row r="34" spans="1:17" x14ac:dyDescent="0.2">
      <c r="A34" s="7">
        <v>14</v>
      </c>
      <c r="B34" s="7">
        <v>2.5733700000000002E-2</v>
      </c>
      <c r="C34" s="7">
        <v>9.9357399999999998E-2</v>
      </c>
      <c r="D34" s="7">
        <v>0.24302190000000001</v>
      </c>
      <c r="E34" s="7">
        <v>0.77067050000000004</v>
      </c>
      <c r="F34" s="7">
        <v>7.626798</v>
      </c>
      <c r="G34" s="7">
        <v>16.751280000000001</v>
      </c>
      <c r="H34" s="7">
        <v>0.33635530000000002</v>
      </c>
      <c r="I34" s="7">
        <v>0.2920373</v>
      </c>
      <c r="J34" s="7">
        <v>284.06529999999998</v>
      </c>
      <c r="K34" s="7">
        <v>29.347989999999999</v>
      </c>
      <c r="L34" s="7">
        <v>246.98830000000001</v>
      </c>
      <c r="M34" s="7">
        <v>1691.345</v>
      </c>
      <c r="N34" s="7">
        <v>1787.2719999999999</v>
      </c>
      <c r="O34" s="7">
        <v>44690.11</v>
      </c>
      <c r="P34" s="7">
        <f ca="1">SUM(OFFSET($A$19,15,1,1,14))</f>
        <v>48755.273844100004</v>
      </c>
      <c r="Q34" s="7">
        <f ca="1">SUM(OFFSET($A$19,15,1,1,12))</f>
        <v>2277.8918441000001</v>
      </c>
    </row>
    <row r="35" spans="1:17" x14ac:dyDescent="0.2">
      <c r="A35" s="7" t="s">
        <v>43</v>
      </c>
      <c r="B35" s="7">
        <f ca="1">SUM(OFFSET($A$19,2,1,14,1))</f>
        <v>13955.179604200001</v>
      </c>
      <c r="C35" s="7">
        <f ca="1">SUM(OFFSET($A$19,2,2,14,1))</f>
        <v>28323.216019200001</v>
      </c>
      <c r="D35" s="7">
        <f ca="1">SUM(OFFSET($A$19,2,3,14,1))</f>
        <v>14999.033787800001</v>
      </c>
      <c r="E35" s="7">
        <f ca="1">SUM(OFFSET($A$19,2,4,14,1))</f>
        <v>84834.23232950001</v>
      </c>
      <c r="F35" s="7">
        <f ca="1">SUM(OFFSET($A$19,2,5,14,1))</f>
        <v>46021.166788999995</v>
      </c>
      <c r="G35" s="7">
        <f ca="1">SUM(OFFSET($A$19,2,6,14,1))</f>
        <v>38778.38293</v>
      </c>
      <c r="H35" s="7">
        <f ca="1">SUM(OFFSET($A$19,2,7,14,1))</f>
        <v>37989.753350799998</v>
      </c>
      <c r="I35" s="7">
        <f ca="1">SUM(OFFSET($A$19,2,8,14,1))</f>
        <v>12192.128914000001</v>
      </c>
      <c r="J35" s="7">
        <f ca="1">SUM(OFFSET($A$19,2,9,14,1))</f>
        <v>68713.824169</v>
      </c>
      <c r="K35" s="7">
        <f ca="1">SUM(OFFSET($A$19,2,10,14,1))</f>
        <v>21600.926321899995</v>
      </c>
      <c r="L35" s="7">
        <f ca="1">SUM(OFFSET($A$19,2,11,14,1))</f>
        <v>17348.605465000001</v>
      </c>
      <c r="M35" s="7">
        <f ca="1">SUM(OFFSET($A$19,2,12,14,1))</f>
        <v>30550.497103000002</v>
      </c>
      <c r="N35" s="7">
        <f ca="1">SUM(OFFSET($A$19,2,13,14,1))</f>
        <v>9139.1160877000002</v>
      </c>
      <c r="O35" s="7">
        <f ca="1">SUM(OFFSET($A$19,2,14,14,1))</f>
        <v>48766.951666699999</v>
      </c>
      <c r="P35" s="7">
        <f ca="1">SUM(OFFSET($A$19,16,1,1,14))</f>
        <v>473213.01453779999</v>
      </c>
      <c r="Q35" s="7">
        <f ca="1">SUM(OFFSET($A$19,16,1,1,12))</f>
        <v>415306.94678339997</v>
      </c>
    </row>
    <row r="36" spans="1:17" x14ac:dyDescent="0.2">
      <c r="O36" s="12" t="s">
        <v>59</v>
      </c>
      <c r="P36" s="7">
        <f ca="1">SUM(OFFSET($B$21,0,0,12,12))</f>
        <v>412460.36681529984</v>
      </c>
    </row>
    <row r="37" spans="1:17" x14ac:dyDescent="0.2">
      <c r="A37" s="7" t="s">
        <v>91</v>
      </c>
    </row>
    <row r="38" spans="1:17" x14ac:dyDescent="0.2"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7">
        <v>10</v>
      </c>
      <c r="L38" s="7">
        <v>11</v>
      </c>
      <c r="M38" s="7">
        <v>12</v>
      </c>
      <c r="N38" s="7">
        <v>13</v>
      </c>
      <c r="O38" s="7">
        <v>14</v>
      </c>
      <c r="P38" s="7" t="s">
        <v>43</v>
      </c>
      <c r="Q38" s="7" t="s">
        <v>61</v>
      </c>
    </row>
    <row r="39" spans="1:17" x14ac:dyDescent="0.2">
      <c r="A39" s="7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f ca="1">SUM(OFFSET($A$37,2,1,1,14))</f>
        <v>0</v>
      </c>
      <c r="Q39" s="7">
        <f ca="1">SUM(OFFSET($A$37,2,1,1,12))</f>
        <v>0</v>
      </c>
    </row>
    <row r="40" spans="1:17" x14ac:dyDescent="0.2">
      <c r="A40" s="7">
        <v>2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f ca="1">SUM(OFFSET($A$37,3,1,1,14))</f>
        <v>0</v>
      </c>
      <c r="Q40" s="7">
        <f ca="1">SUM(OFFSET($A$37,3,1,1,12))</f>
        <v>0</v>
      </c>
    </row>
    <row r="41" spans="1:17" x14ac:dyDescent="0.2">
      <c r="A41" s="7">
        <v>3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f ca="1">SUM(OFFSET($A$37,4,1,1,14))</f>
        <v>0</v>
      </c>
      <c r="Q41" s="7">
        <f ca="1">SUM(OFFSET($A$37,4,1,1,12))</f>
        <v>0</v>
      </c>
    </row>
    <row r="42" spans="1:17" x14ac:dyDescent="0.2">
      <c r="A42" s="7">
        <v>4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f ca="1">SUM(OFFSET($A$37,5,1,1,14))</f>
        <v>0</v>
      </c>
      <c r="Q42" s="7">
        <f ca="1">SUM(OFFSET($A$37,5,1,1,12))</f>
        <v>0</v>
      </c>
    </row>
    <row r="43" spans="1:17" x14ac:dyDescent="0.2">
      <c r="A43" s="7">
        <v>5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f ca="1">SUM(OFFSET($A$37,6,1,1,14))</f>
        <v>0</v>
      </c>
      <c r="Q43" s="7">
        <f ca="1">SUM(OFFSET($A$37,6,1,1,12))</f>
        <v>0</v>
      </c>
    </row>
    <row r="44" spans="1:17" x14ac:dyDescent="0.2">
      <c r="A44" s="7">
        <v>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f ca="1">SUM(OFFSET($A$37,7,1,1,14))</f>
        <v>0</v>
      </c>
      <c r="Q44" s="7">
        <f ca="1">SUM(OFFSET($A$37,7,1,1,12))</f>
        <v>0</v>
      </c>
    </row>
    <row r="45" spans="1:17" x14ac:dyDescent="0.2">
      <c r="A45" s="7">
        <v>7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f ca="1">SUM(OFFSET($A$37,8,1,1,14))</f>
        <v>0</v>
      </c>
      <c r="Q45" s="7">
        <f ca="1">SUM(OFFSET($A$37,8,1,1,12))</f>
        <v>0</v>
      </c>
    </row>
    <row r="46" spans="1:17" x14ac:dyDescent="0.2">
      <c r="A46" s="7">
        <v>8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f ca="1">SUM(OFFSET($A$37,9,1,1,14))</f>
        <v>0</v>
      </c>
      <c r="Q46" s="7">
        <f ca="1">SUM(OFFSET($A$37,9,1,1,12))</f>
        <v>0</v>
      </c>
    </row>
    <row r="47" spans="1:17" x14ac:dyDescent="0.2">
      <c r="A47" s="7">
        <v>9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f ca="1">SUM(OFFSET($A$37,10,1,1,14))</f>
        <v>0</v>
      </c>
      <c r="Q47" s="7">
        <f ca="1">SUM(OFFSET($A$37,10,1,1,12))</f>
        <v>0</v>
      </c>
    </row>
    <row r="48" spans="1:17" x14ac:dyDescent="0.2">
      <c r="A48" s="7">
        <v>10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f ca="1">SUM(OFFSET($A$37,11,1,1,14))</f>
        <v>0</v>
      </c>
      <c r="Q48" s="7">
        <f ca="1">SUM(OFFSET($A$37,11,1,1,12))</f>
        <v>0</v>
      </c>
    </row>
    <row r="49" spans="1:17" x14ac:dyDescent="0.2">
      <c r="A49" s="7">
        <v>11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f ca="1">SUM(OFFSET($A$37,12,1,1,14))</f>
        <v>0</v>
      </c>
      <c r="Q49" s="7">
        <f ca="1">SUM(OFFSET($A$37,12,1,1,12))</f>
        <v>0</v>
      </c>
    </row>
    <row r="50" spans="1:17" x14ac:dyDescent="0.2">
      <c r="A50" s="7">
        <v>12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f ca="1">SUM(OFFSET($A$37,13,1,1,14))</f>
        <v>0</v>
      </c>
      <c r="Q50" s="7">
        <f ca="1">SUM(OFFSET($A$37,13,1,1,12))</f>
        <v>0</v>
      </c>
    </row>
    <row r="51" spans="1:17" x14ac:dyDescent="0.2">
      <c r="A51" s="7">
        <v>13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f ca="1">SUM(OFFSET($A$37,14,1,1,14))</f>
        <v>0</v>
      </c>
      <c r="Q51" s="7">
        <f ca="1">SUM(OFFSET($A$37,14,1,1,12))</f>
        <v>0</v>
      </c>
    </row>
    <row r="52" spans="1:17" x14ac:dyDescent="0.2">
      <c r="A52" s="7">
        <v>14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f ca="1">SUM(OFFSET($A$37,15,1,1,14))</f>
        <v>0</v>
      </c>
      <c r="Q52" s="7">
        <f ca="1">SUM(OFFSET($A$37,15,1,1,12))</f>
        <v>0</v>
      </c>
    </row>
    <row r="53" spans="1:17" x14ac:dyDescent="0.2">
      <c r="A53" s="7" t="s">
        <v>43</v>
      </c>
      <c r="B53" s="7">
        <f ca="1">SUM(OFFSET($A$37,2,1,14,1))</f>
        <v>0</v>
      </c>
      <c r="C53" s="7">
        <f ca="1">SUM(OFFSET($A$37,2,2,14,1))</f>
        <v>0</v>
      </c>
      <c r="D53" s="7">
        <f ca="1">SUM(OFFSET($A$37,2,3,14,1))</f>
        <v>0</v>
      </c>
      <c r="E53" s="7">
        <f ca="1">SUM(OFFSET($A$37,2,4,14,1))</f>
        <v>0</v>
      </c>
      <c r="F53" s="7">
        <f ca="1">SUM(OFFSET($A$37,2,5,14,1))</f>
        <v>0</v>
      </c>
      <c r="G53" s="7">
        <f ca="1">SUM(OFFSET($A$37,2,6,14,1))</f>
        <v>0</v>
      </c>
      <c r="H53" s="7">
        <f ca="1">SUM(OFFSET($A$37,2,7,14,1))</f>
        <v>0</v>
      </c>
      <c r="I53" s="7">
        <f ca="1">SUM(OFFSET($A$37,2,8,14,1))</f>
        <v>0</v>
      </c>
      <c r="J53" s="7">
        <f ca="1">SUM(OFFSET($A$37,2,9,14,1))</f>
        <v>0</v>
      </c>
      <c r="K53" s="7">
        <f ca="1">SUM(OFFSET($A$37,2,10,14,1))</f>
        <v>0</v>
      </c>
      <c r="L53" s="7">
        <f ca="1">SUM(OFFSET($A$37,2,11,14,1))</f>
        <v>0</v>
      </c>
      <c r="M53" s="7">
        <f ca="1">SUM(OFFSET($A$37,2,12,14,1))</f>
        <v>0</v>
      </c>
      <c r="N53" s="7">
        <f ca="1">SUM(OFFSET($A$37,2,13,14,1))</f>
        <v>0</v>
      </c>
      <c r="O53" s="7">
        <f ca="1">SUM(OFFSET($A$37,2,14,14,1))</f>
        <v>0</v>
      </c>
      <c r="P53" s="7">
        <f ca="1">SUM(OFFSET($A$37,16,1,1,14))</f>
        <v>0</v>
      </c>
      <c r="Q53" s="7">
        <f ca="1">SUM(OFFSET($A$37,16,1,1,12))</f>
        <v>0</v>
      </c>
    </row>
    <row r="54" spans="1:17" x14ac:dyDescent="0.2">
      <c r="O54" s="12" t="s">
        <v>59</v>
      </c>
      <c r="P54" s="7">
        <f ca="1">SUM(OFFSET($B$39,0,0,12,12))</f>
        <v>0</v>
      </c>
    </row>
    <row r="55" spans="1:17" x14ac:dyDescent="0.2">
      <c r="A55" s="7" t="s">
        <v>93</v>
      </c>
    </row>
    <row r="56" spans="1:17" x14ac:dyDescent="0.2">
      <c r="B56" s="7">
        <v>1</v>
      </c>
      <c r="C56" s="7">
        <v>2</v>
      </c>
      <c r="D56" s="7">
        <v>3</v>
      </c>
      <c r="E56" s="7">
        <v>4</v>
      </c>
      <c r="F56" s="7">
        <v>5</v>
      </c>
      <c r="G56" s="7">
        <v>6</v>
      </c>
      <c r="H56" s="7">
        <v>7</v>
      </c>
      <c r="I56" s="7">
        <v>8</v>
      </c>
      <c r="J56" s="7">
        <v>9</v>
      </c>
      <c r="K56" s="7">
        <v>10</v>
      </c>
      <c r="L56" s="7">
        <v>11</v>
      </c>
      <c r="M56" s="7">
        <v>12</v>
      </c>
      <c r="N56" s="7">
        <v>13</v>
      </c>
      <c r="O56" s="7">
        <v>14</v>
      </c>
      <c r="P56" s="7" t="s">
        <v>43</v>
      </c>
      <c r="Q56" s="7" t="s">
        <v>61</v>
      </c>
    </row>
    <row r="57" spans="1:17" x14ac:dyDescent="0.2">
      <c r="A57" s="7">
        <v>1</v>
      </c>
      <c r="B57" s="7">
        <v>560.44050000000004</v>
      </c>
      <c r="C57" s="7">
        <v>320.13029999999998</v>
      </c>
      <c r="D57" s="7">
        <v>588.72919999999999</v>
      </c>
      <c r="E57" s="7">
        <v>69.262540000000001</v>
      </c>
      <c r="F57" s="7">
        <v>18.372920000000001</v>
      </c>
      <c r="G57" s="7">
        <v>0.73195589999999999</v>
      </c>
      <c r="H57" s="7">
        <v>2.5154230000000002</v>
      </c>
      <c r="I57" s="7">
        <v>0.1014519</v>
      </c>
      <c r="J57" s="7">
        <v>0.17461170000000001</v>
      </c>
      <c r="K57" s="7">
        <v>8.7486999999999999E-3</v>
      </c>
      <c r="L57" s="7">
        <v>4.3881299999999998E-2</v>
      </c>
      <c r="M57" s="7">
        <v>1.0643E-3</v>
      </c>
      <c r="N57" s="7">
        <v>0</v>
      </c>
      <c r="O57" s="7">
        <v>0</v>
      </c>
      <c r="P57" s="7">
        <f ca="1">SUM(OFFSET($A$55,2,1,1,14))</f>
        <v>1560.5125968000002</v>
      </c>
      <c r="Q57" s="7">
        <f ca="1">SUM(OFFSET($A$55,2,1,1,12))</f>
        <v>1560.5125968000002</v>
      </c>
    </row>
    <row r="58" spans="1:17" x14ac:dyDescent="0.2">
      <c r="A58" s="7">
        <v>2</v>
      </c>
      <c r="B58" s="7">
        <v>309.41570000000002</v>
      </c>
      <c r="C58" s="7">
        <v>1958.5229999999999</v>
      </c>
      <c r="D58" s="7">
        <v>500.95249999999999</v>
      </c>
      <c r="E58" s="7">
        <v>147.17840000000001</v>
      </c>
      <c r="F58" s="7">
        <v>66.844260000000006</v>
      </c>
      <c r="G58" s="7">
        <v>5.1967100000000004</v>
      </c>
      <c r="H58" s="7">
        <v>5.0667840000000002</v>
      </c>
      <c r="I58" s="7">
        <v>0.1828225</v>
      </c>
      <c r="J58" s="7">
        <v>1.141184</v>
      </c>
      <c r="K58" s="7">
        <v>4.0785200000000001E-2</v>
      </c>
      <c r="L58" s="7">
        <v>0.28444019999999998</v>
      </c>
      <c r="M58" s="7">
        <v>8.3707E-3</v>
      </c>
      <c r="N58" s="7">
        <v>0</v>
      </c>
      <c r="O58" s="7">
        <v>0</v>
      </c>
      <c r="P58" s="7">
        <f ca="1">SUM(OFFSET($A$55,3,1,1,14))</f>
        <v>2994.8349565999997</v>
      </c>
      <c r="Q58" s="7">
        <f ca="1">SUM(OFFSET($A$55,3,1,1,12))</f>
        <v>2994.8349565999997</v>
      </c>
    </row>
    <row r="59" spans="1:17" x14ac:dyDescent="0.2">
      <c r="A59" s="7">
        <v>3</v>
      </c>
      <c r="B59" s="7">
        <v>361.07139999999998</v>
      </c>
      <c r="C59" s="7">
        <v>281.77350000000001</v>
      </c>
      <c r="D59" s="7">
        <v>2521.8629999999998</v>
      </c>
      <c r="E59" s="7">
        <v>3441.6010000000001</v>
      </c>
      <c r="F59" s="7">
        <v>300.87650000000002</v>
      </c>
      <c r="G59" s="7">
        <v>40.553849999999997</v>
      </c>
      <c r="H59" s="7">
        <v>103.9438</v>
      </c>
      <c r="I59" s="7">
        <v>6.741873</v>
      </c>
      <c r="J59" s="7">
        <v>18.170259999999999</v>
      </c>
      <c r="K59" s="7">
        <v>1.1545399999999999</v>
      </c>
      <c r="L59" s="7">
        <v>2.1632699999999998</v>
      </c>
      <c r="M59" s="7">
        <v>0.24975820000000001</v>
      </c>
      <c r="N59" s="7">
        <v>0</v>
      </c>
      <c r="O59" s="7">
        <v>0</v>
      </c>
      <c r="P59" s="7">
        <f ca="1">SUM(OFFSET($A$55,4,1,1,14))</f>
        <v>7080.1627512000005</v>
      </c>
      <c r="Q59" s="7">
        <f ca="1">SUM(OFFSET($A$55,4,1,1,12))</f>
        <v>7080.1627512000005</v>
      </c>
    </row>
    <row r="60" spans="1:17" x14ac:dyDescent="0.2">
      <c r="A60" s="7">
        <v>4</v>
      </c>
      <c r="B60" s="7">
        <v>53.883470000000003</v>
      </c>
      <c r="C60" s="7">
        <v>128.56700000000001</v>
      </c>
      <c r="D60" s="7">
        <v>4912.5119999999997</v>
      </c>
      <c r="E60" s="7">
        <v>14651.49</v>
      </c>
      <c r="F60" s="7">
        <v>643.52869999999996</v>
      </c>
      <c r="G60" s="7">
        <v>32.381680000000003</v>
      </c>
      <c r="H60" s="7">
        <v>236.6919</v>
      </c>
      <c r="I60" s="7">
        <v>18.06504</v>
      </c>
      <c r="J60" s="7">
        <v>27.474309999999999</v>
      </c>
      <c r="K60" s="7">
        <v>2.9401920000000001</v>
      </c>
      <c r="L60" s="7">
        <v>1.3140449999999999</v>
      </c>
      <c r="M60" s="7">
        <v>0.3991266</v>
      </c>
      <c r="N60" s="7">
        <v>0</v>
      </c>
      <c r="O60" s="7">
        <v>0</v>
      </c>
      <c r="P60" s="7">
        <f ca="1">SUM(OFFSET($A$55,5,1,1,14))</f>
        <v>20709.247463600001</v>
      </c>
      <c r="Q60" s="7">
        <f ca="1">SUM(OFFSET($A$55,5,1,1,12))</f>
        <v>20709.247463600001</v>
      </c>
    </row>
    <row r="61" spans="1:17" x14ac:dyDescent="0.2">
      <c r="A61" s="7">
        <v>5</v>
      </c>
      <c r="B61" s="7">
        <v>16.48658</v>
      </c>
      <c r="C61" s="7">
        <v>66.630560000000003</v>
      </c>
      <c r="D61" s="7">
        <v>617.17460000000005</v>
      </c>
      <c r="E61" s="7">
        <v>659.23969999999997</v>
      </c>
      <c r="F61" s="7">
        <v>3433.3870000000002</v>
      </c>
      <c r="G61" s="7">
        <v>183.3314</v>
      </c>
      <c r="H61" s="7">
        <v>80.167150000000007</v>
      </c>
      <c r="I61" s="7">
        <v>16.489280000000001</v>
      </c>
      <c r="J61" s="7">
        <v>76.252330000000001</v>
      </c>
      <c r="K61" s="7">
        <v>2.8657370000000002</v>
      </c>
      <c r="L61" s="7">
        <v>6.8008709999999999</v>
      </c>
      <c r="M61" s="7">
        <v>3.7579400000000001</v>
      </c>
      <c r="N61" s="7">
        <v>0</v>
      </c>
      <c r="O61" s="7">
        <v>0</v>
      </c>
      <c r="P61" s="7">
        <f ca="1">SUM(OFFSET($A$55,6,1,1,14))</f>
        <v>5162.5831480000015</v>
      </c>
      <c r="Q61" s="7">
        <f ca="1">SUM(OFFSET($A$55,6,1,1,12))</f>
        <v>5162.5831480000015</v>
      </c>
    </row>
    <row r="62" spans="1:17" x14ac:dyDescent="0.2">
      <c r="A62" s="7">
        <v>6</v>
      </c>
      <c r="B62" s="7">
        <v>0.62751349999999995</v>
      </c>
      <c r="C62" s="7">
        <v>4.6305379999999996</v>
      </c>
      <c r="D62" s="7">
        <v>69.224890000000002</v>
      </c>
      <c r="E62" s="7">
        <v>33.877949999999998</v>
      </c>
      <c r="F62" s="7">
        <v>168.5839</v>
      </c>
      <c r="G62" s="7">
        <v>1535.298</v>
      </c>
      <c r="H62" s="7">
        <v>6.4646860000000004</v>
      </c>
      <c r="I62" s="7">
        <v>0.79728880000000002</v>
      </c>
      <c r="J62" s="7">
        <v>18.508980000000001</v>
      </c>
      <c r="K62" s="7">
        <v>0.53480839999999996</v>
      </c>
      <c r="L62" s="7">
        <v>61.8536</v>
      </c>
      <c r="M62" s="7">
        <v>4.3713569999999997</v>
      </c>
      <c r="N62" s="7">
        <v>0</v>
      </c>
      <c r="O62" s="7">
        <v>0</v>
      </c>
      <c r="P62" s="7">
        <f ca="1">SUM(OFFSET($A$55,7,1,1,14))</f>
        <v>1904.7735117</v>
      </c>
      <c r="Q62" s="7">
        <f ca="1">SUM(OFFSET($A$55,7,1,1,12))</f>
        <v>1904.7735117</v>
      </c>
    </row>
    <row r="63" spans="1:17" x14ac:dyDescent="0.2">
      <c r="A63" s="7">
        <v>7</v>
      </c>
      <c r="B63" s="7">
        <v>2.3590100000000001</v>
      </c>
      <c r="C63" s="7">
        <v>5.0310139999999999</v>
      </c>
      <c r="D63" s="7">
        <v>223.6208</v>
      </c>
      <c r="E63" s="7">
        <v>252.9873</v>
      </c>
      <c r="F63" s="7">
        <v>72.70805</v>
      </c>
      <c r="G63" s="7">
        <v>6.4256890000000002</v>
      </c>
      <c r="H63" s="7">
        <v>2243.4450000000002</v>
      </c>
      <c r="I63" s="7">
        <v>48.57846</v>
      </c>
      <c r="J63" s="7">
        <v>36.673729999999999</v>
      </c>
      <c r="K63" s="7">
        <v>8.6868549999999995</v>
      </c>
      <c r="L63" s="7">
        <v>0.10714899999999999</v>
      </c>
      <c r="M63" s="7">
        <v>0.56685569999999996</v>
      </c>
      <c r="N63" s="7">
        <v>0</v>
      </c>
      <c r="O63" s="7">
        <v>0</v>
      </c>
      <c r="P63" s="7">
        <f ca="1">SUM(OFFSET($A$55,8,1,1,14))</f>
        <v>2901.1899127000001</v>
      </c>
      <c r="Q63" s="7">
        <f ca="1">SUM(OFFSET($A$55,8,1,1,12))</f>
        <v>2901.1899127000001</v>
      </c>
    </row>
    <row r="64" spans="1:17" x14ac:dyDescent="0.2">
      <c r="A64" s="7">
        <v>8</v>
      </c>
      <c r="B64" s="7">
        <v>0.12233869999999999</v>
      </c>
      <c r="C64" s="7">
        <v>0.2142172</v>
      </c>
      <c r="D64" s="7">
        <v>15.48429</v>
      </c>
      <c r="E64" s="7">
        <v>23.55489</v>
      </c>
      <c r="F64" s="7">
        <v>16.229310000000002</v>
      </c>
      <c r="G64" s="7">
        <v>0.83480940000000003</v>
      </c>
      <c r="H64" s="7">
        <v>62.286520000000003</v>
      </c>
      <c r="I64" s="7">
        <v>403.40870000000001</v>
      </c>
      <c r="J64" s="7">
        <v>59.489319999999999</v>
      </c>
      <c r="K64" s="7">
        <v>8.6540309999999998</v>
      </c>
      <c r="L64" s="7">
        <v>4.1097399999999999E-2</v>
      </c>
      <c r="M64" s="7">
        <v>0.96466649999999998</v>
      </c>
      <c r="N64" s="7">
        <v>0</v>
      </c>
      <c r="O64" s="7">
        <v>4.3000000000000002E-5</v>
      </c>
      <c r="P64" s="7">
        <f ca="1">SUM(OFFSET($A$55,9,1,1,14))</f>
        <v>591.28423320000013</v>
      </c>
      <c r="Q64" s="7">
        <f ca="1">SUM(OFFSET($A$55,9,1,1,12))</f>
        <v>591.28419020000013</v>
      </c>
    </row>
    <row r="65" spans="1:17" x14ac:dyDescent="0.2">
      <c r="A65" s="7">
        <v>9</v>
      </c>
      <c r="B65" s="7">
        <v>0.13794100000000001</v>
      </c>
      <c r="C65" s="7">
        <v>0.99068750000000005</v>
      </c>
      <c r="D65" s="7">
        <v>36.245280000000001</v>
      </c>
      <c r="E65" s="7">
        <v>30.56925</v>
      </c>
      <c r="F65" s="7">
        <v>66.690510000000003</v>
      </c>
      <c r="G65" s="7">
        <v>16.563780000000001</v>
      </c>
      <c r="H65" s="7">
        <v>33.261580000000002</v>
      </c>
      <c r="I65" s="7">
        <v>53.9908</v>
      </c>
      <c r="J65" s="7">
        <v>3212.8620000000001</v>
      </c>
      <c r="K65" s="7">
        <v>104.6585</v>
      </c>
      <c r="L65" s="7">
        <v>12.37857</v>
      </c>
      <c r="M65" s="7">
        <v>176.33359999999999</v>
      </c>
      <c r="N65" s="7">
        <v>1.0580000000000001E-2</v>
      </c>
      <c r="O65" s="7">
        <v>2.5407150000000001</v>
      </c>
      <c r="P65" s="7">
        <f ca="1">SUM(OFFSET($A$55,10,1,1,14))</f>
        <v>3747.2337935</v>
      </c>
      <c r="Q65" s="7">
        <f ca="1">SUM(OFFSET($A$55,10,1,1,12))</f>
        <v>3744.6824984999998</v>
      </c>
    </row>
    <row r="66" spans="1:17" x14ac:dyDescent="0.2">
      <c r="A66" s="7">
        <v>10</v>
      </c>
      <c r="B66" s="7">
        <v>1.0026500000000001E-2</v>
      </c>
      <c r="C66" s="7">
        <v>4.8267400000000002E-2</v>
      </c>
      <c r="D66" s="7">
        <v>2.6701950000000001</v>
      </c>
      <c r="E66" s="7">
        <v>3.8221769999999999</v>
      </c>
      <c r="F66" s="7">
        <v>3.1760359999999999</v>
      </c>
      <c r="G66" s="7">
        <v>0.58329969999999998</v>
      </c>
      <c r="H66" s="7">
        <v>9.7947729999999993</v>
      </c>
      <c r="I66" s="7">
        <v>8.4297000000000004</v>
      </c>
      <c r="J66" s="7">
        <v>110.0491</v>
      </c>
      <c r="K66" s="7">
        <v>556.85440000000006</v>
      </c>
      <c r="L66" s="7">
        <v>0.1123271</v>
      </c>
      <c r="M66" s="7">
        <v>26.926919999999999</v>
      </c>
      <c r="N66" s="7">
        <v>0</v>
      </c>
      <c r="O66" s="7">
        <v>2.5990900000000001E-2</v>
      </c>
      <c r="P66" s="7">
        <f ca="1">SUM(OFFSET($A$55,11,1,1,14))</f>
        <v>722.5032126000001</v>
      </c>
      <c r="Q66" s="7">
        <f ca="1">SUM(OFFSET($A$55,11,1,1,12))</f>
        <v>722.47722170000009</v>
      </c>
    </row>
    <row r="67" spans="1:17" x14ac:dyDescent="0.2">
      <c r="A67" s="7">
        <v>11</v>
      </c>
      <c r="B67" s="7">
        <v>4.5479400000000003E-2</v>
      </c>
      <c r="C67" s="7">
        <v>0.28765659999999998</v>
      </c>
      <c r="D67" s="7">
        <v>3.9246829999999999</v>
      </c>
      <c r="E67" s="7">
        <v>1.5670539999999999</v>
      </c>
      <c r="F67" s="7">
        <v>6.9717739999999999</v>
      </c>
      <c r="G67" s="7">
        <v>41.288449999999997</v>
      </c>
      <c r="H67" s="7">
        <v>0.1153465</v>
      </c>
      <c r="I67" s="7">
        <v>4.0973999999999997E-2</v>
      </c>
      <c r="J67" s="7">
        <v>10.00737</v>
      </c>
      <c r="K67" s="7">
        <v>5.9911100000000002E-2</v>
      </c>
      <c r="L67" s="7">
        <v>762.93650000000002</v>
      </c>
      <c r="M67" s="7">
        <v>13.936</v>
      </c>
      <c r="N67" s="7">
        <v>0</v>
      </c>
      <c r="O67" s="7">
        <v>5.1011800000000003E-2</v>
      </c>
      <c r="P67" s="7">
        <f ca="1">SUM(OFFSET($A$55,12,1,1,14))</f>
        <v>841.23221039999999</v>
      </c>
      <c r="Q67" s="7">
        <f ca="1">SUM(OFFSET($A$55,12,1,1,12))</f>
        <v>841.18119860000002</v>
      </c>
    </row>
    <row r="68" spans="1:17" x14ac:dyDescent="0.2">
      <c r="A68" s="7">
        <v>12</v>
      </c>
      <c r="B68" s="7">
        <v>2.3773000000000002E-3</v>
      </c>
      <c r="C68" s="7">
        <v>3.3996400000000003E-2</v>
      </c>
      <c r="D68" s="7">
        <v>0.67106920000000003</v>
      </c>
      <c r="E68" s="7">
        <v>0.50563550000000002</v>
      </c>
      <c r="F68" s="7">
        <v>4.1815910000000001</v>
      </c>
      <c r="G68" s="7">
        <v>4.5550139999999999</v>
      </c>
      <c r="H68" s="7">
        <v>0.54005539999999996</v>
      </c>
      <c r="I68" s="7">
        <v>0.68925250000000005</v>
      </c>
      <c r="J68" s="7">
        <v>168.15100000000001</v>
      </c>
      <c r="K68" s="7">
        <v>24.80706</v>
      </c>
      <c r="L68" s="7">
        <v>16.10557</v>
      </c>
      <c r="M68" s="7">
        <v>726.86959999999999</v>
      </c>
      <c r="N68" s="7">
        <v>0.29606890000000002</v>
      </c>
      <c r="O68" s="7">
        <v>16.246980000000001</v>
      </c>
      <c r="P68" s="7">
        <f ca="1">SUM(OFFSET($A$55,13,1,1,14))</f>
        <v>963.65527020000002</v>
      </c>
      <c r="Q68" s="7">
        <f ca="1">SUM(OFFSET($A$55,13,1,1,12))</f>
        <v>947.11222129999999</v>
      </c>
    </row>
    <row r="69" spans="1:17" x14ac:dyDescent="0.2">
      <c r="A69" s="7">
        <v>13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2.2352000000000001E-3</v>
      </c>
      <c r="K69" s="7">
        <v>0</v>
      </c>
      <c r="L69" s="7">
        <v>0</v>
      </c>
      <c r="M69" s="7">
        <v>0.2485097</v>
      </c>
      <c r="N69" s="7">
        <v>189.66499999999999</v>
      </c>
      <c r="O69" s="7">
        <v>68.71893</v>
      </c>
      <c r="P69" s="7">
        <f ca="1">SUM(OFFSET($A$55,14,1,1,14))</f>
        <v>258.63467489999999</v>
      </c>
      <c r="Q69" s="7">
        <f ca="1">SUM(OFFSET($A$55,14,1,1,12))</f>
        <v>0.25074489999999999</v>
      </c>
    </row>
    <row r="70" spans="1:17" x14ac:dyDescent="0.2">
      <c r="A70" s="7">
        <v>14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1.6219349999999999</v>
      </c>
      <c r="K70" s="7">
        <v>0</v>
      </c>
      <c r="L70" s="7">
        <v>1.8469000000000001E-3</v>
      </c>
      <c r="M70" s="7">
        <v>14.9107</v>
      </c>
      <c r="N70" s="7">
        <v>68.223669999999998</v>
      </c>
      <c r="O70" s="7">
        <v>2137.7179999999998</v>
      </c>
      <c r="P70" s="7">
        <f ca="1">SUM(OFFSET($A$55,15,1,1,14))</f>
        <v>2222.4761518999999</v>
      </c>
      <c r="Q70" s="7">
        <f ca="1">SUM(OFFSET($A$55,15,1,1,12))</f>
        <v>16.534481899999999</v>
      </c>
    </row>
    <row r="71" spans="1:17" x14ac:dyDescent="0.2">
      <c r="A71" s="7" t="s">
        <v>43</v>
      </c>
      <c r="B71" s="7">
        <f ca="1">SUM(OFFSET($A$55,2,1,14,1))</f>
        <v>1304.6023364</v>
      </c>
      <c r="C71" s="7">
        <f ca="1">SUM(OFFSET($A$55,2,2,14,1))</f>
        <v>2766.8607371000003</v>
      </c>
      <c r="D71" s="7">
        <f ca="1">SUM(OFFSET($A$55,2,3,14,1))</f>
        <v>9493.0725071999987</v>
      </c>
      <c r="E71" s="7">
        <f ca="1">SUM(OFFSET($A$55,2,4,14,1))</f>
        <v>19315.655896499997</v>
      </c>
      <c r="F71" s="7">
        <f ca="1">SUM(OFFSET($A$55,2,5,14,1))</f>
        <v>4801.5505509999994</v>
      </c>
      <c r="G71" s="7">
        <f ca="1">SUM(OFFSET($A$55,2,6,14,1))</f>
        <v>1867.7446379999999</v>
      </c>
      <c r="H71" s="7">
        <f ca="1">SUM(OFFSET($A$55,2,7,14,1))</f>
        <v>2784.2930179000005</v>
      </c>
      <c r="I71" s="7">
        <f ca="1">SUM(OFFSET($A$55,2,8,14,1))</f>
        <v>557.51564270000006</v>
      </c>
      <c r="J71" s="7">
        <f ca="1">SUM(OFFSET($A$55,2,9,14,1))</f>
        <v>3740.5783658999999</v>
      </c>
      <c r="K71" s="7">
        <f ca="1">SUM(OFFSET($A$55,2,10,14,1))</f>
        <v>711.26556840000012</v>
      </c>
      <c r="L71" s="7">
        <f ca="1">SUM(OFFSET($A$55,2,11,14,1))</f>
        <v>864.14316790000009</v>
      </c>
      <c r="M71" s="7">
        <f ca="1">SUM(OFFSET($A$55,2,12,14,1))</f>
        <v>969.54446870000004</v>
      </c>
      <c r="N71" s="7">
        <f ca="1">SUM(OFFSET($A$55,2,13,14,1))</f>
        <v>258.19531889999996</v>
      </c>
      <c r="O71" s="7">
        <f ca="1">SUM(OFFSET($A$55,2,14,14,1))</f>
        <v>2225.3016706999997</v>
      </c>
      <c r="P71" s="7">
        <f ca="1">SUM(OFFSET($A$55,16,1,1,14))</f>
        <v>51660.323887299986</v>
      </c>
      <c r="Q71" s="7">
        <f ca="1">SUM(OFFSET($A$55,16,1,1,12))</f>
        <v>49176.82689769999</v>
      </c>
    </row>
    <row r="72" spans="1:17" x14ac:dyDescent="0.2">
      <c r="O72" s="12" t="s">
        <v>59</v>
      </c>
      <c r="P72" s="7">
        <f ca="1">SUM(OFFSET($B$57,0,0,12,12))</f>
        <v>49160.041670900013</v>
      </c>
    </row>
    <row r="73" spans="1:17" x14ac:dyDescent="0.2">
      <c r="A73" s="7" t="s">
        <v>95</v>
      </c>
    </row>
    <row r="74" spans="1:17" x14ac:dyDescent="0.2">
      <c r="B74" s="7">
        <v>1</v>
      </c>
      <c r="C74" s="7">
        <v>2</v>
      </c>
      <c r="D74" s="7">
        <v>3</v>
      </c>
      <c r="E74" s="7">
        <v>4</v>
      </c>
      <c r="F74" s="7">
        <v>5</v>
      </c>
      <c r="G74" s="7">
        <v>6</v>
      </c>
      <c r="H74" s="7">
        <v>7</v>
      </c>
      <c r="I74" s="7">
        <v>8</v>
      </c>
      <c r="J74" s="7">
        <v>9</v>
      </c>
      <c r="K74" s="7">
        <v>10</v>
      </c>
      <c r="L74" s="7">
        <v>11</v>
      </c>
      <c r="M74" s="7">
        <v>12</v>
      </c>
      <c r="N74" s="7">
        <v>13</v>
      </c>
      <c r="O74" s="7">
        <v>14</v>
      </c>
      <c r="P74" s="7" t="s">
        <v>43</v>
      </c>
      <c r="Q74" s="7" t="s">
        <v>61</v>
      </c>
    </row>
    <row r="75" spans="1:17" x14ac:dyDescent="0.2">
      <c r="A75" s="7">
        <v>1</v>
      </c>
      <c r="B75" s="7">
        <v>0</v>
      </c>
      <c r="C75" s="7">
        <v>9.0270440000000001</v>
      </c>
      <c r="D75" s="7">
        <v>248.60560000000001</v>
      </c>
      <c r="E75" s="7">
        <v>99.026439999999994</v>
      </c>
      <c r="F75" s="7">
        <v>59.478540000000002</v>
      </c>
      <c r="G75" s="7">
        <v>4.3159260000000002</v>
      </c>
      <c r="H75" s="7">
        <v>13.776770000000001</v>
      </c>
      <c r="I75" s="7">
        <v>0.52778950000000002</v>
      </c>
      <c r="J75" s="7">
        <v>2.1393789999999999</v>
      </c>
      <c r="K75" s="7">
        <v>7.4520699999999995E-2</v>
      </c>
      <c r="L75" s="7">
        <v>0.2595847</v>
      </c>
      <c r="M75" s="7">
        <v>0.1943503</v>
      </c>
      <c r="N75" s="7">
        <v>0</v>
      </c>
      <c r="O75" s="7">
        <v>0</v>
      </c>
      <c r="P75" s="7">
        <f ca="1">SUM(OFFSET($A$73,2,1,1,14))</f>
        <v>437.4259442</v>
      </c>
      <c r="Q75" s="7">
        <f ca="1">SUM(OFFSET($A$73,2,1,1,12))</f>
        <v>437.4259442</v>
      </c>
    </row>
    <row r="76" spans="1:17" x14ac:dyDescent="0.2">
      <c r="A76" s="7">
        <v>2</v>
      </c>
      <c r="B76" s="7">
        <v>0</v>
      </c>
      <c r="C76" s="7">
        <v>0</v>
      </c>
      <c r="D76" s="7">
        <v>1011.583</v>
      </c>
      <c r="E76" s="7">
        <v>253.37440000000001</v>
      </c>
      <c r="F76" s="7">
        <v>183.09350000000001</v>
      </c>
      <c r="G76" s="7">
        <v>37.94538</v>
      </c>
      <c r="H76" s="7">
        <v>33.691659999999999</v>
      </c>
      <c r="I76" s="7">
        <v>1.1690229999999999</v>
      </c>
      <c r="J76" s="7">
        <v>23.03153</v>
      </c>
      <c r="K76" s="7">
        <v>0.45523839999999999</v>
      </c>
      <c r="L76" s="7">
        <v>1.8497170000000001</v>
      </c>
      <c r="M76" s="7">
        <v>1.1394280000000001</v>
      </c>
      <c r="N76" s="7">
        <v>0</v>
      </c>
      <c r="O76" s="7">
        <v>0</v>
      </c>
      <c r="P76" s="7">
        <f ca="1">SUM(OFFSET($A$73,3,1,1,14))</f>
        <v>1547.3328763999998</v>
      </c>
      <c r="Q76" s="7">
        <f ca="1">SUM(OFFSET($A$73,3,1,1,12))</f>
        <v>1547.3328763999998</v>
      </c>
    </row>
    <row r="77" spans="1:17" x14ac:dyDescent="0.2">
      <c r="A77" s="7">
        <v>3</v>
      </c>
      <c r="B77" s="7">
        <v>125.4434</v>
      </c>
      <c r="C77" s="7">
        <v>758.50379999999996</v>
      </c>
      <c r="D77" s="7">
        <v>588.88490000000002</v>
      </c>
      <c r="E77" s="7">
        <v>3897.576</v>
      </c>
      <c r="F77" s="7">
        <v>1371.3030000000001</v>
      </c>
      <c r="G77" s="7">
        <v>298.18579999999997</v>
      </c>
      <c r="H77" s="7">
        <v>790.36689999999999</v>
      </c>
      <c r="I77" s="7">
        <v>44.6051</v>
      </c>
      <c r="J77" s="7">
        <v>218.465</v>
      </c>
      <c r="K77" s="7">
        <v>12.748699999999999</v>
      </c>
      <c r="L77" s="7">
        <v>14.01333</v>
      </c>
      <c r="M77" s="7">
        <v>7.4416599999999997</v>
      </c>
      <c r="N77" s="7">
        <v>0</v>
      </c>
      <c r="O77" s="7">
        <v>4.6743000000000002E-3</v>
      </c>
      <c r="P77" s="7">
        <f ca="1">SUM(OFFSET($A$73,4,1,1,14))</f>
        <v>8127.5422643000011</v>
      </c>
      <c r="Q77" s="7">
        <f ca="1">SUM(OFFSET($A$73,4,1,1,12))</f>
        <v>8127.5375900000008</v>
      </c>
    </row>
    <row r="78" spans="1:17" x14ac:dyDescent="0.2">
      <c r="A78" s="7">
        <v>4</v>
      </c>
      <c r="B78" s="7">
        <v>158.0189</v>
      </c>
      <c r="C78" s="7">
        <v>295.10000000000002</v>
      </c>
      <c r="D78" s="7">
        <v>5395.616</v>
      </c>
      <c r="E78" s="7">
        <v>2607.9639999999999</v>
      </c>
      <c r="F78" s="7">
        <v>1754.837</v>
      </c>
      <c r="G78" s="7">
        <v>200.9768</v>
      </c>
      <c r="H78" s="7">
        <v>909.52859999999998</v>
      </c>
      <c r="I78" s="7">
        <v>69.217510000000004</v>
      </c>
      <c r="J78" s="7">
        <v>170.8107</v>
      </c>
      <c r="K78" s="7">
        <v>20.23499</v>
      </c>
      <c r="L78" s="7">
        <v>7.0163159999999998</v>
      </c>
      <c r="M78" s="7">
        <v>5.9069000000000003</v>
      </c>
      <c r="N78" s="7">
        <v>0</v>
      </c>
      <c r="O78" s="7">
        <v>4.9170000000000004E-3</v>
      </c>
      <c r="P78" s="7">
        <f ca="1">SUM(OFFSET($A$73,5,1,1,14))</f>
        <v>11595.232633</v>
      </c>
      <c r="Q78" s="7">
        <f ca="1">SUM(OFFSET($A$73,5,1,1,12))</f>
        <v>11595.227715999999</v>
      </c>
    </row>
    <row r="79" spans="1:17" x14ac:dyDescent="0.2">
      <c r="A79" s="7">
        <v>5</v>
      </c>
      <c r="B79" s="7">
        <v>70.809179999999998</v>
      </c>
      <c r="C79" s="7">
        <v>170.36609999999999</v>
      </c>
      <c r="D79" s="7">
        <v>1615.0719999999999</v>
      </c>
      <c r="E79" s="7">
        <v>1358.5170000000001</v>
      </c>
      <c r="F79" s="7">
        <v>2242.8690000000001</v>
      </c>
      <c r="G79" s="7">
        <v>677.26769999999999</v>
      </c>
      <c r="H79" s="7">
        <v>261.83920000000001</v>
      </c>
      <c r="I79" s="7">
        <v>46.928980000000003</v>
      </c>
      <c r="J79" s="7">
        <v>558.14880000000005</v>
      </c>
      <c r="K79" s="7">
        <v>30.251750000000001</v>
      </c>
      <c r="L79" s="7">
        <v>28.497299999999999</v>
      </c>
      <c r="M79" s="7">
        <v>55.241169999999997</v>
      </c>
      <c r="N79" s="7">
        <v>0</v>
      </c>
      <c r="O79" s="7">
        <v>0.29671589999999998</v>
      </c>
      <c r="P79" s="7">
        <f ca="1">SUM(OFFSET($A$73,6,1,1,14))</f>
        <v>7116.1048959000009</v>
      </c>
      <c r="Q79" s="7">
        <f ca="1">SUM(OFFSET($A$73,6,1,1,12))</f>
        <v>7115.8081800000009</v>
      </c>
    </row>
    <row r="80" spans="1:17" x14ac:dyDescent="0.2">
      <c r="A80" s="7">
        <v>6</v>
      </c>
      <c r="B80" s="7">
        <v>6.2000849999999996</v>
      </c>
      <c r="C80" s="7">
        <v>43.154910000000001</v>
      </c>
      <c r="D80" s="7">
        <v>493.1078</v>
      </c>
      <c r="E80" s="7">
        <v>191.2972</v>
      </c>
      <c r="F80" s="7">
        <v>790.48220000000003</v>
      </c>
      <c r="G80" s="7">
        <v>218.0625</v>
      </c>
      <c r="H80" s="7">
        <v>54.85651</v>
      </c>
      <c r="I80" s="7">
        <v>7.1787749999999999</v>
      </c>
      <c r="J80" s="7">
        <v>263.32299999999998</v>
      </c>
      <c r="K80" s="7">
        <v>12.891489999999999</v>
      </c>
      <c r="L80" s="7">
        <v>3.0847259999999999</v>
      </c>
      <c r="M80" s="7">
        <v>44.159480000000002</v>
      </c>
      <c r="N80" s="7">
        <v>0</v>
      </c>
      <c r="O80" s="7">
        <v>0.15396370000000001</v>
      </c>
      <c r="P80" s="7">
        <f ca="1">SUM(OFFSET($A$73,7,1,1,14))</f>
        <v>2127.9526397</v>
      </c>
      <c r="Q80" s="7">
        <f ca="1">SUM(OFFSET($A$73,7,1,1,12))</f>
        <v>2127.7986759999999</v>
      </c>
    </row>
    <row r="81" spans="1:17" x14ac:dyDescent="0.2">
      <c r="A81" s="7">
        <v>7</v>
      </c>
      <c r="B81" s="7">
        <v>15.80592</v>
      </c>
      <c r="C81" s="7">
        <v>29.339169999999999</v>
      </c>
      <c r="D81" s="7">
        <v>986.95860000000005</v>
      </c>
      <c r="E81" s="7">
        <v>714.46669999999995</v>
      </c>
      <c r="F81" s="7">
        <v>250.179</v>
      </c>
      <c r="G81" s="7">
        <v>43.035670000000003</v>
      </c>
      <c r="H81" s="7">
        <v>259.64069999999998</v>
      </c>
      <c r="I81" s="7">
        <v>52.451300000000003</v>
      </c>
      <c r="J81" s="7">
        <v>83.463179999999994</v>
      </c>
      <c r="K81" s="7">
        <v>22.038029999999999</v>
      </c>
      <c r="L81" s="7">
        <v>0.54965330000000001</v>
      </c>
      <c r="M81" s="7">
        <v>4.821123</v>
      </c>
      <c r="N81" s="7">
        <v>0</v>
      </c>
      <c r="O81" s="7">
        <v>0</v>
      </c>
      <c r="P81" s="7">
        <f ca="1">SUM(OFFSET($A$73,8,1,1,14))</f>
        <v>2462.7490463000008</v>
      </c>
      <c r="Q81" s="7">
        <f ca="1">SUM(OFFSET($A$73,8,1,1,12))</f>
        <v>2462.7490463000008</v>
      </c>
    </row>
    <row r="82" spans="1:17" x14ac:dyDescent="0.2">
      <c r="A82" s="7">
        <v>8</v>
      </c>
      <c r="B82" s="7">
        <v>0.77698990000000001</v>
      </c>
      <c r="C82" s="7">
        <v>1.2933730000000001</v>
      </c>
      <c r="D82" s="7">
        <v>76.917490000000001</v>
      </c>
      <c r="E82" s="7">
        <v>67.6768</v>
      </c>
      <c r="F82" s="7">
        <v>51.335239999999999</v>
      </c>
      <c r="G82" s="7">
        <v>6.6824669999999999</v>
      </c>
      <c r="H82" s="7">
        <v>42.605080000000001</v>
      </c>
      <c r="I82" s="7">
        <v>0.1288029</v>
      </c>
      <c r="J82" s="7">
        <v>35.049579999999999</v>
      </c>
      <c r="K82" s="7">
        <v>2.9923890000000002</v>
      </c>
      <c r="L82" s="7">
        <v>0.24711359999999999</v>
      </c>
      <c r="M82" s="7">
        <v>4.226464</v>
      </c>
      <c r="N82" s="7">
        <v>0</v>
      </c>
      <c r="O82" s="7">
        <v>5.9210000000000003E-4</v>
      </c>
      <c r="P82" s="7">
        <f ca="1">SUM(OFFSET($A$73,9,1,1,14))</f>
        <v>289.93238150000008</v>
      </c>
      <c r="Q82" s="7">
        <f ca="1">SUM(OFFSET($A$73,9,1,1,12))</f>
        <v>289.93178940000007</v>
      </c>
    </row>
    <row r="83" spans="1:17" x14ac:dyDescent="0.2">
      <c r="A83" s="7">
        <v>9</v>
      </c>
      <c r="B83" s="7">
        <v>3.221803</v>
      </c>
      <c r="C83" s="7">
        <v>26.961469999999998</v>
      </c>
      <c r="D83" s="7">
        <v>361.93740000000003</v>
      </c>
      <c r="E83" s="7">
        <v>171.55709999999999</v>
      </c>
      <c r="F83" s="7">
        <v>674.57749999999999</v>
      </c>
      <c r="G83" s="7">
        <v>286.41230000000002</v>
      </c>
      <c r="H83" s="7">
        <v>136.49090000000001</v>
      </c>
      <c r="I83" s="7">
        <v>56.869900000000001</v>
      </c>
      <c r="J83" s="7">
        <v>570.34640000000002</v>
      </c>
      <c r="K83" s="7">
        <v>18.3566</v>
      </c>
      <c r="L83" s="7">
        <v>20.254529999999999</v>
      </c>
      <c r="M83" s="7">
        <v>31.424769999999999</v>
      </c>
      <c r="N83" s="7">
        <v>0</v>
      </c>
      <c r="O83" s="7">
        <v>0.76220659999999996</v>
      </c>
      <c r="P83" s="7">
        <f ca="1">SUM(OFFSET($A$73,10,1,1,14))</f>
        <v>2359.1728796000002</v>
      </c>
      <c r="Q83" s="7">
        <f ca="1">SUM(OFFSET($A$73,10,1,1,12))</f>
        <v>2358.4106730000003</v>
      </c>
    </row>
    <row r="84" spans="1:17" x14ac:dyDescent="0.2">
      <c r="A84" s="7">
        <v>10</v>
      </c>
      <c r="B84" s="7">
        <v>0.1107519</v>
      </c>
      <c r="C84" s="7">
        <v>0.5265204</v>
      </c>
      <c r="D84" s="7">
        <v>22.13016</v>
      </c>
      <c r="E84" s="7">
        <v>19.410139999999998</v>
      </c>
      <c r="F84" s="7">
        <v>37.990160000000003</v>
      </c>
      <c r="G84" s="7">
        <v>14.2653</v>
      </c>
      <c r="H84" s="7">
        <v>32.590490000000003</v>
      </c>
      <c r="I84" s="7">
        <v>5.8054889999999997</v>
      </c>
      <c r="J84" s="7">
        <v>23.13466</v>
      </c>
      <c r="K84" s="7">
        <v>0</v>
      </c>
      <c r="L84" s="7">
        <v>0.216082</v>
      </c>
      <c r="M84" s="7">
        <v>0</v>
      </c>
      <c r="N84" s="7">
        <v>0</v>
      </c>
      <c r="O84" s="7">
        <v>0</v>
      </c>
      <c r="P84" s="7">
        <f ca="1">SUM(OFFSET($A$73,11,1,1,14))</f>
        <v>156.17975329999999</v>
      </c>
      <c r="Q84" s="7">
        <f ca="1">SUM(OFFSET($A$73,11,1,1,12))</f>
        <v>156.17975329999999</v>
      </c>
    </row>
    <row r="85" spans="1:17" x14ac:dyDescent="0.2">
      <c r="A85" s="7">
        <v>11</v>
      </c>
      <c r="B85" s="7">
        <v>0.35828510000000002</v>
      </c>
      <c r="C85" s="7">
        <v>2.0433479999999999</v>
      </c>
      <c r="D85" s="7">
        <v>24.56729</v>
      </c>
      <c r="E85" s="7">
        <v>6.1985340000000004</v>
      </c>
      <c r="F85" s="7">
        <v>30.630189999999999</v>
      </c>
      <c r="G85" s="7">
        <v>188.42779999999999</v>
      </c>
      <c r="H85" s="7">
        <v>0.6743555</v>
      </c>
      <c r="I85" s="7">
        <v>0.21850130000000001</v>
      </c>
      <c r="J85" s="7">
        <v>28.027940000000001</v>
      </c>
      <c r="K85" s="7">
        <v>0.52150269999999999</v>
      </c>
      <c r="L85" s="7">
        <v>18.3887</v>
      </c>
      <c r="M85" s="7">
        <v>1.521733</v>
      </c>
      <c r="N85" s="7">
        <v>0</v>
      </c>
      <c r="O85" s="7">
        <v>0</v>
      </c>
      <c r="P85" s="7">
        <f ca="1">SUM(OFFSET($A$73,12,1,1,14))</f>
        <v>301.57817959999994</v>
      </c>
      <c r="Q85" s="7">
        <f ca="1">SUM(OFFSET($A$73,12,1,1,12))</f>
        <v>301.57817959999994</v>
      </c>
    </row>
    <row r="86" spans="1:17" x14ac:dyDescent="0.2">
      <c r="A86" s="7">
        <v>12</v>
      </c>
      <c r="B86" s="7">
        <v>0.2498938</v>
      </c>
      <c r="C86" s="7">
        <v>1.1673899999999999</v>
      </c>
      <c r="D86" s="7">
        <v>12.42614</v>
      </c>
      <c r="E86" s="7">
        <v>5.1801779999999997</v>
      </c>
      <c r="F86" s="7">
        <v>58.16019</v>
      </c>
      <c r="G86" s="7">
        <v>57.043840000000003</v>
      </c>
      <c r="H86" s="7">
        <v>5.5402750000000003</v>
      </c>
      <c r="I86" s="7">
        <v>4.5573769999999998</v>
      </c>
      <c r="J86" s="7">
        <v>28.40241</v>
      </c>
      <c r="K86" s="7">
        <v>0</v>
      </c>
      <c r="L86" s="7">
        <v>3.6206099999999998E-2</v>
      </c>
      <c r="M86" s="7">
        <v>0</v>
      </c>
      <c r="N86" s="7">
        <v>0</v>
      </c>
      <c r="O86" s="7">
        <v>0</v>
      </c>
      <c r="P86" s="7">
        <f ca="1">SUM(OFFSET($A$73,13,1,1,14))</f>
        <v>172.76389989999998</v>
      </c>
      <c r="Q86" s="7">
        <f ca="1">SUM(OFFSET($A$73,13,1,1,12))</f>
        <v>172.76389989999998</v>
      </c>
    </row>
    <row r="87" spans="1:17" x14ac:dyDescent="0.2">
      <c r="A87" s="7">
        <v>13</v>
      </c>
      <c r="B87" s="7">
        <v>1.3449999999999999E-4</v>
      </c>
      <c r="C87" s="7">
        <v>2.0070000000000001E-3</v>
      </c>
      <c r="D87" s="7">
        <v>1.03981E-2</v>
      </c>
      <c r="E87" s="7">
        <v>6.1339000000000003E-3</v>
      </c>
      <c r="F87" s="7">
        <v>6.7693699999999996E-2</v>
      </c>
      <c r="G87" s="7">
        <v>0.76625600000000005</v>
      </c>
      <c r="H87" s="7">
        <v>1.0026E-3</v>
      </c>
      <c r="I87" s="7">
        <v>3.7110000000000002E-4</v>
      </c>
      <c r="J87" s="7">
        <v>0.22937199999999999</v>
      </c>
      <c r="K87" s="7">
        <v>0</v>
      </c>
      <c r="L87" s="7">
        <v>14.127470000000001</v>
      </c>
      <c r="M87" s="7">
        <v>1.2454240000000001</v>
      </c>
      <c r="N87" s="7">
        <v>0</v>
      </c>
      <c r="O87" s="7">
        <v>0</v>
      </c>
      <c r="P87" s="7">
        <f ca="1">SUM(OFFSET($A$73,14,1,1,14))</f>
        <v>16.456262900000002</v>
      </c>
      <c r="Q87" s="7">
        <f ca="1">SUM(OFFSET($A$73,14,1,1,12))</f>
        <v>16.456262900000002</v>
      </c>
    </row>
    <row r="88" spans="1:17" x14ac:dyDescent="0.2">
      <c r="A88" s="7">
        <v>14</v>
      </c>
      <c r="B88" s="7">
        <v>8.0599999999999994E-5</v>
      </c>
      <c r="C88" s="7">
        <v>1.1276000000000001E-3</v>
      </c>
      <c r="D88" s="7">
        <v>7.8377000000000002E-2</v>
      </c>
      <c r="E88" s="7">
        <v>1.6377300000000001E-2</v>
      </c>
      <c r="F88" s="7">
        <v>0.105659</v>
      </c>
      <c r="G88" s="7">
        <v>1.43008</v>
      </c>
      <c r="H88" s="7">
        <v>8.6870000000000003E-4</v>
      </c>
      <c r="I88" s="7">
        <v>0</v>
      </c>
      <c r="J88" s="7">
        <v>1.58707</v>
      </c>
      <c r="K88" s="7">
        <v>0</v>
      </c>
      <c r="L88" s="7">
        <v>14.23653</v>
      </c>
      <c r="M88" s="7">
        <v>5.8224809999999998</v>
      </c>
      <c r="N88" s="7">
        <v>0</v>
      </c>
      <c r="O88" s="7">
        <v>0</v>
      </c>
      <c r="P88" s="7">
        <f ca="1">SUM(OFFSET($A$73,15,1,1,14))</f>
        <v>23.278651199999999</v>
      </c>
      <c r="Q88" s="7">
        <f ca="1">SUM(OFFSET($A$73,15,1,1,12))</f>
        <v>23.278651199999999</v>
      </c>
    </row>
    <row r="89" spans="1:17" x14ac:dyDescent="0.2">
      <c r="A89" s="7" t="s">
        <v>43</v>
      </c>
      <c r="B89" s="7">
        <f ca="1">SUM(OFFSET($A$73,2,1,14,1))</f>
        <v>380.99542380000003</v>
      </c>
      <c r="C89" s="7">
        <f ca="1">SUM(OFFSET($A$73,2,2,14,1))</f>
        <v>1337.4862599999999</v>
      </c>
      <c r="D89" s="7">
        <f ca="1">SUM(OFFSET($A$73,2,3,14,1))</f>
        <v>10837.895155100001</v>
      </c>
      <c r="E89" s="7">
        <f ca="1">SUM(OFFSET($A$73,2,4,14,1))</f>
        <v>9392.2670032000005</v>
      </c>
      <c r="F89" s="7">
        <f ca="1">SUM(OFFSET($A$73,2,5,14,1))</f>
        <v>7505.1088727000015</v>
      </c>
      <c r="G89" s="7">
        <f ca="1">SUM(OFFSET($A$73,2,6,14,1))</f>
        <v>2034.8178190000001</v>
      </c>
      <c r="H89" s="7">
        <f ca="1">SUM(OFFSET($A$73,2,7,14,1))</f>
        <v>2541.6033117999991</v>
      </c>
      <c r="I89" s="7">
        <f ca="1">SUM(OFFSET($A$73,2,8,14,1))</f>
        <v>289.65891880000004</v>
      </c>
      <c r="J89" s="7">
        <f ca="1">SUM(OFFSET($A$73,2,9,14,1))</f>
        <v>2006.1590209999997</v>
      </c>
      <c r="K89" s="7">
        <f ca="1">SUM(OFFSET($A$73,2,10,14,1))</f>
        <v>120.56521080000002</v>
      </c>
      <c r="L89" s="7">
        <f ca="1">SUM(OFFSET($A$73,2,11,14,1))</f>
        <v>122.7772587</v>
      </c>
      <c r="M89" s="7">
        <f ca="1">SUM(OFFSET($A$73,2,12,14,1))</f>
        <v>163.14498330000004</v>
      </c>
      <c r="N89" s="7">
        <f ca="1">SUM(OFFSET($A$73,2,13,14,1))</f>
        <v>0</v>
      </c>
      <c r="O89" s="7">
        <f ca="1">SUM(OFFSET($A$73,2,14,14,1))</f>
        <v>1.2230696000000001</v>
      </c>
      <c r="P89" s="7">
        <f ca="1">SUM(OFFSET($A$73,16,1,1,14))</f>
        <v>36733.702307799998</v>
      </c>
      <c r="Q89" s="7">
        <f ca="1">SUM(OFFSET($A$73,16,1,1,12))</f>
        <v>36732.479238200001</v>
      </c>
    </row>
    <row r="90" spans="1:17" x14ac:dyDescent="0.2">
      <c r="O90" s="12" t="s">
        <v>59</v>
      </c>
      <c r="P90" s="7">
        <f ca="1">SUM(OFFSET($B$75,0,0,12,12))</f>
        <v>36692.744324100022</v>
      </c>
    </row>
    <row r="91" spans="1:17" x14ac:dyDescent="0.2">
      <c r="A91" s="7" t="s">
        <v>97</v>
      </c>
    </row>
    <row r="92" spans="1:17" x14ac:dyDescent="0.2">
      <c r="B92" s="7">
        <v>1</v>
      </c>
      <c r="C92" s="7">
        <v>2</v>
      </c>
      <c r="D92" s="7">
        <v>3</v>
      </c>
      <c r="E92" s="7">
        <v>4</v>
      </c>
      <c r="F92" s="7">
        <v>5</v>
      </c>
      <c r="G92" s="7">
        <v>6</v>
      </c>
      <c r="H92" s="7">
        <v>7</v>
      </c>
      <c r="I92" s="7">
        <v>8</v>
      </c>
      <c r="J92" s="7">
        <v>9</v>
      </c>
      <c r="K92" s="7">
        <v>10</v>
      </c>
      <c r="L92" s="7">
        <v>11</v>
      </c>
      <c r="M92" s="7">
        <v>12</v>
      </c>
      <c r="N92" s="7">
        <v>13</v>
      </c>
      <c r="O92" s="7">
        <v>14</v>
      </c>
      <c r="P92" s="7" t="s">
        <v>43</v>
      </c>
      <c r="Q92" s="7" t="s">
        <v>61</v>
      </c>
    </row>
    <row r="93" spans="1:17" x14ac:dyDescent="0.2">
      <c r="A93" s="7">
        <v>1</v>
      </c>
      <c r="B93" s="7">
        <v>1951.8969999999999</v>
      </c>
      <c r="C93" s="7">
        <v>60.057670000000002</v>
      </c>
      <c r="D93" s="7">
        <v>14.92578</v>
      </c>
      <c r="E93" s="7">
        <v>5.8077900000000002E-2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f ca="1">SUM(OFFSET($A$91,2,1,1,14))</f>
        <v>2026.9385278999998</v>
      </c>
      <c r="Q93" s="7">
        <f ca="1">SUM(OFFSET($A$91,2,1,1,12))</f>
        <v>2026.9385278999998</v>
      </c>
    </row>
    <row r="94" spans="1:17" x14ac:dyDescent="0.2">
      <c r="A94" s="7">
        <v>2</v>
      </c>
      <c r="B94" s="7">
        <v>76.370260000000002</v>
      </c>
      <c r="C94" s="7">
        <v>4657.4830000000002</v>
      </c>
      <c r="D94" s="7">
        <v>3.2605659999999999</v>
      </c>
      <c r="E94" s="7">
        <v>3.648898</v>
      </c>
      <c r="F94" s="7">
        <v>0.55576979999999998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f ca="1">SUM(OFFSET($A$91,3,1,1,14))</f>
        <v>4741.3184938000004</v>
      </c>
      <c r="Q94" s="7">
        <f ca="1">SUM(OFFSET($A$91,3,1,1,12))</f>
        <v>4741.3184938000004</v>
      </c>
    </row>
    <row r="95" spans="1:17" x14ac:dyDescent="0.2">
      <c r="A95" s="7">
        <v>3</v>
      </c>
      <c r="B95" s="7">
        <v>10.31484</v>
      </c>
      <c r="C95" s="7">
        <v>2.8484250000000002</v>
      </c>
      <c r="D95" s="7">
        <v>18442.560000000001</v>
      </c>
      <c r="E95" s="7">
        <v>697.32510000000002</v>
      </c>
      <c r="F95" s="7">
        <v>1.3629359999999999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f ca="1">SUM(OFFSET($A$91,4,1,1,14))</f>
        <v>19154.411301000004</v>
      </c>
      <c r="Q95" s="7">
        <f ca="1">SUM(OFFSET($A$91,4,1,1,12))</f>
        <v>19154.411301000004</v>
      </c>
    </row>
    <row r="96" spans="1:17" x14ac:dyDescent="0.2">
      <c r="A96" s="7">
        <v>4</v>
      </c>
      <c r="B96" s="7">
        <v>1.45744E-2</v>
      </c>
      <c r="C96" s="7">
        <v>3.0618379999999998</v>
      </c>
      <c r="D96" s="7">
        <v>915.71450000000004</v>
      </c>
      <c r="E96" s="7">
        <v>21743.18</v>
      </c>
      <c r="F96" s="7">
        <v>267.74880000000002</v>
      </c>
      <c r="G96" s="7">
        <v>0</v>
      </c>
      <c r="H96" s="7">
        <v>26.74766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f ca="1">SUM(OFFSET($A$91,5,1,1,14))</f>
        <v>22956.467372400002</v>
      </c>
      <c r="Q96" s="7">
        <f ca="1">SUM(OFFSET($A$91,5,1,1,12))</f>
        <v>22956.467372400002</v>
      </c>
    </row>
    <row r="97" spans="1:17" x14ac:dyDescent="0.2">
      <c r="A97" s="7">
        <v>5</v>
      </c>
      <c r="B97" s="7">
        <v>0</v>
      </c>
      <c r="C97" s="7">
        <v>0.64631090000000002</v>
      </c>
      <c r="D97" s="7">
        <v>2.6138940000000002</v>
      </c>
      <c r="E97" s="7">
        <v>262.40600000000001</v>
      </c>
      <c r="F97" s="7">
        <v>6473.6210000000001</v>
      </c>
      <c r="G97" s="7">
        <v>98.033050000000003</v>
      </c>
      <c r="H97" s="7">
        <v>7.655646</v>
      </c>
      <c r="I97" s="7">
        <v>2.0425559999999998</v>
      </c>
      <c r="J97" s="7">
        <v>3.150261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f ca="1">SUM(OFFSET($A$91,6,1,1,14))</f>
        <v>6850.1687179</v>
      </c>
      <c r="Q97" s="7">
        <f ca="1">SUM(OFFSET($A$91,6,1,1,12))</f>
        <v>6850.1687179</v>
      </c>
    </row>
    <row r="98" spans="1:17" x14ac:dyDescent="0.2">
      <c r="A98" s="7">
        <v>6</v>
      </c>
      <c r="B98" s="7">
        <v>0</v>
      </c>
      <c r="C98" s="7">
        <v>0</v>
      </c>
      <c r="D98" s="7">
        <v>0</v>
      </c>
      <c r="E98" s="7">
        <v>0</v>
      </c>
      <c r="F98" s="7">
        <v>103.9759</v>
      </c>
      <c r="G98" s="7">
        <v>3878.989</v>
      </c>
      <c r="H98" s="7">
        <v>0</v>
      </c>
      <c r="I98" s="7">
        <v>0</v>
      </c>
      <c r="J98" s="7">
        <v>6.7357E-2</v>
      </c>
      <c r="K98" s="7">
        <v>0</v>
      </c>
      <c r="L98" s="7">
        <v>0.17260800000000001</v>
      </c>
      <c r="M98" s="7">
        <v>0</v>
      </c>
      <c r="N98" s="7">
        <v>0</v>
      </c>
      <c r="O98" s="7">
        <v>0</v>
      </c>
      <c r="P98" s="7">
        <f ca="1">SUM(OFFSET($A$91,7,1,1,14))</f>
        <v>3983.2048649999997</v>
      </c>
      <c r="Q98" s="7">
        <f ca="1">SUM(OFFSET($A$91,7,1,1,12))</f>
        <v>3983.2048649999997</v>
      </c>
    </row>
    <row r="99" spans="1:17" x14ac:dyDescent="0.2">
      <c r="A99" s="7">
        <v>7</v>
      </c>
      <c r="B99" s="7">
        <v>0</v>
      </c>
      <c r="C99" s="7">
        <v>0</v>
      </c>
      <c r="D99" s="7">
        <v>0</v>
      </c>
      <c r="E99" s="7">
        <v>16.56344</v>
      </c>
      <c r="F99" s="7">
        <v>8.4014039999999994</v>
      </c>
      <c r="G99" s="7">
        <v>0</v>
      </c>
      <c r="H99" s="7">
        <v>4082.598</v>
      </c>
      <c r="I99" s="7">
        <v>0.29638930000000002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f ca="1">SUM(OFFSET($A$91,8,1,1,14))</f>
        <v>4107.8592332999997</v>
      </c>
      <c r="Q99" s="7">
        <f ca="1">SUM(OFFSET($A$91,8,1,1,12))</f>
        <v>4107.8592332999997</v>
      </c>
    </row>
    <row r="100" spans="1:17" x14ac:dyDescent="0.2">
      <c r="A100" s="7">
        <v>8</v>
      </c>
      <c r="B100" s="7">
        <v>0</v>
      </c>
      <c r="C100" s="7">
        <v>0</v>
      </c>
      <c r="D100" s="7">
        <v>0</v>
      </c>
      <c r="E100" s="7">
        <v>0</v>
      </c>
      <c r="F100" s="7">
        <v>2.0232540000000001</v>
      </c>
      <c r="G100" s="7">
        <v>0</v>
      </c>
      <c r="H100" s="7">
        <v>0.17915980000000001</v>
      </c>
      <c r="I100" s="7">
        <v>1573.0830000000001</v>
      </c>
      <c r="J100" s="7">
        <v>1.172331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f ca="1">SUM(OFFSET($A$91,9,1,1,14))</f>
        <v>1576.4577448</v>
      </c>
      <c r="Q100" s="7">
        <f ca="1">SUM(OFFSET($A$91,9,1,1,12))</f>
        <v>1576.4577448</v>
      </c>
    </row>
    <row r="101" spans="1:17" x14ac:dyDescent="0.2">
      <c r="A101" s="7">
        <v>9</v>
      </c>
      <c r="B101" s="7">
        <v>0</v>
      </c>
      <c r="C101" s="7">
        <v>0</v>
      </c>
      <c r="D101" s="7">
        <v>0</v>
      </c>
      <c r="E101" s="7">
        <v>0</v>
      </c>
      <c r="F101" s="7">
        <v>2.0363380000000002</v>
      </c>
      <c r="G101" s="7">
        <v>8.2672800000000005E-2</v>
      </c>
      <c r="H101" s="7">
        <v>2.1142899999999999E-2</v>
      </c>
      <c r="I101" s="7">
        <v>1.1973309999999999</v>
      </c>
      <c r="J101" s="7">
        <v>5140.8599999999997</v>
      </c>
      <c r="K101" s="7">
        <v>2.0586760000000002</v>
      </c>
      <c r="L101" s="7">
        <v>2.6483099999999999E-2</v>
      </c>
      <c r="M101" s="7">
        <v>100.514</v>
      </c>
      <c r="N101" s="7">
        <v>0</v>
      </c>
      <c r="O101" s="7">
        <v>0</v>
      </c>
      <c r="P101" s="7">
        <f ca="1">SUM(OFFSET($A$91,10,1,1,14))</f>
        <v>5246.7966437999994</v>
      </c>
      <c r="Q101" s="7">
        <f ca="1">SUM(OFFSET($A$91,10,1,1,12))</f>
        <v>5246.7966437999994</v>
      </c>
    </row>
    <row r="102" spans="1:17" x14ac:dyDescent="0.2">
      <c r="A102" s="7">
        <v>10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2.076956</v>
      </c>
      <c r="K102" s="7">
        <v>2732.3589999999999</v>
      </c>
      <c r="L102" s="7">
        <v>0</v>
      </c>
      <c r="M102" s="7">
        <v>1.011822</v>
      </c>
      <c r="N102" s="7">
        <v>0</v>
      </c>
      <c r="O102" s="7">
        <v>0</v>
      </c>
      <c r="P102" s="7">
        <f ca="1">SUM(OFFSET($A$91,11,1,1,14))</f>
        <v>2735.4477779999997</v>
      </c>
      <c r="Q102" s="7">
        <f ca="1">SUM(OFFSET($A$91,11,1,1,12))</f>
        <v>2735.4477779999997</v>
      </c>
    </row>
    <row r="103" spans="1:17" x14ac:dyDescent="0.2">
      <c r="A103" s="7">
        <v>11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0.17815739999999999</v>
      </c>
      <c r="H103" s="7">
        <v>0</v>
      </c>
      <c r="I103" s="7">
        <v>0</v>
      </c>
      <c r="J103" s="7">
        <v>2.8408200000000002E-2</v>
      </c>
      <c r="K103" s="7">
        <v>0</v>
      </c>
      <c r="L103" s="7">
        <v>1873.222</v>
      </c>
      <c r="M103" s="7">
        <v>0.52562790000000004</v>
      </c>
      <c r="N103" s="7">
        <v>0.20594789999999999</v>
      </c>
      <c r="O103" s="7">
        <v>0</v>
      </c>
      <c r="P103" s="7">
        <f ca="1">SUM(OFFSET($A$91,12,1,1,14))</f>
        <v>1874.1601413999999</v>
      </c>
      <c r="Q103" s="7">
        <f ca="1">SUM(OFFSET($A$91,12,1,1,12))</f>
        <v>1873.9541935</v>
      </c>
    </row>
    <row r="104" spans="1:17" x14ac:dyDescent="0.2">
      <c r="A104" s="7">
        <v>12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95.704899999999995</v>
      </c>
      <c r="K104" s="7">
        <v>1.006316</v>
      </c>
      <c r="L104" s="7">
        <v>0.75851869999999999</v>
      </c>
      <c r="M104" s="7">
        <v>3096.77</v>
      </c>
      <c r="N104" s="7">
        <v>0</v>
      </c>
      <c r="O104" s="7">
        <v>0.77474949999999998</v>
      </c>
      <c r="P104" s="7">
        <f ca="1">SUM(OFFSET($A$91,13,1,1,14))</f>
        <v>3195.0144842</v>
      </c>
      <c r="Q104" s="7">
        <f ca="1">SUM(OFFSET($A$91,13,1,1,12))</f>
        <v>3194.2397347000001</v>
      </c>
    </row>
    <row r="105" spans="1:17" x14ac:dyDescent="0.2">
      <c r="A105" s="7">
        <v>13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0.20652100000000001</v>
      </c>
      <c r="M105" s="7">
        <v>0</v>
      </c>
      <c r="N105" s="7">
        <v>676.36929999999995</v>
      </c>
      <c r="O105" s="7">
        <v>0.68678050000000002</v>
      </c>
      <c r="P105" s="7">
        <f ca="1">SUM(OFFSET($A$91,14,1,1,14))</f>
        <v>677.26260149999996</v>
      </c>
      <c r="Q105" s="7">
        <f ca="1">SUM(OFFSET($A$91,14,1,1,12))</f>
        <v>0.20652100000000001</v>
      </c>
    </row>
    <row r="106" spans="1:17" x14ac:dyDescent="0.2">
      <c r="A106" s="7">
        <v>14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0.80105749999999998</v>
      </c>
      <c r="N106" s="7">
        <v>0.90961650000000005</v>
      </c>
      <c r="O106" s="7">
        <v>4727.817</v>
      </c>
      <c r="P106" s="7">
        <f ca="1">SUM(OFFSET($A$91,15,1,1,14))</f>
        <v>4729.5276739999999</v>
      </c>
      <c r="Q106" s="7">
        <f ca="1">SUM(OFFSET($A$91,15,1,1,12))</f>
        <v>0.80105749999999998</v>
      </c>
    </row>
    <row r="107" spans="1:17" x14ac:dyDescent="0.2">
      <c r="A107" s="7" t="s">
        <v>43</v>
      </c>
      <c r="B107" s="7">
        <f ca="1">SUM(OFFSET($A$91,2,1,14,1))</f>
        <v>2038.5966743999998</v>
      </c>
      <c r="C107" s="7">
        <f ca="1">SUM(OFFSET($A$91,2,2,14,1))</f>
        <v>4724.0972438999997</v>
      </c>
      <c r="D107" s="7">
        <f ca="1">SUM(OFFSET($A$91,2,3,14,1))</f>
        <v>19379.07474</v>
      </c>
      <c r="E107" s="7">
        <f ca="1">SUM(OFFSET($A$91,2,4,14,1))</f>
        <v>22723.1815159</v>
      </c>
      <c r="F107" s="7">
        <f ca="1">SUM(OFFSET($A$91,2,5,14,1))</f>
        <v>6859.7254018000003</v>
      </c>
      <c r="G107" s="7">
        <f ca="1">SUM(OFFSET($A$91,2,6,14,1))</f>
        <v>3977.2828802000004</v>
      </c>
      <c r="H107" s="7">
        <f ca="1">SUM(OFFSET($A$91,2,7,14,1))</f>
        <v>4117.2016087000002</v>
      </c>
      <c r="I107" s="7">
        <f ca="1">SUM(OFFSET($A$91,2,8,14,1))</f>
        <v>1576.6192763000001</v>
      </c>
      <c r="J107" s="7">
        <f ca="1">SUM(OFFSET($A$91,2,9,14,1))</f>
        <v>5243.0602131999995</v>
      </c>
      <c r="K107" s="7">
        <f ca="1">SUM(OFFSET($A$91,2,10,14,1))</f>
        <v>2735.423992</v>
      </c>
      <c r="L107" s="7">
        <f ca="1">SUM(OFFSET($A$91,2,11,14,1))</f>
        <v>1874.3861308</v>
      </c>
      <c r="M107" s="7">
        <f ca="1">SUM(OFFSET($A$91,2,12,14,1))</f>
        <v>3199.6225073999999</v>
      </c>
      <c r="N107" s="7">
        <f ca="1">SUM(OFFSET($A$91,2,13,14,1))</f>
        <v>677.48486439999988</v>
      </c>
      <c r="O107" s="7">
        <f ca="1">SUM(OFFSET($A$91,2,14,14,1))</f>
        <v>4729.2785299999996</v>
      </c>
      <c r="P107" s="7">
        <f ca="1">SUM(OFFSET($A$91,16,1,1,14))</f>
        <v>83855.035579000003</v>
      </c>
      <c r="Q107" s="7">
        <f ca="1">SUM(OFFSET($A$91,16,1,1,12))</f>
        <v>78448.272184600006</v>
      </c>
    </row>
    <row r="108" spans="1:17" x14ac:dyDescent="0.2">
      <c r="O108" s="12" t="s">
        <v>59</v>
      </c>
      <c r="P108" s="7">
        <f ca="1">SUM(OFFSET($B$93,0,0,12,12))</f>
        <v>78447.264606099998</v>
      </c>
    </row>
    <row r="109" spans="1:17" x14ac:dyDescent="0.2">
      <c r="A109" s="7" t="s">
        <v>99</v>
      </c>
    </row>
    <row r="110" spans="1:17" x14ac:dyDescent="0.2">
      <c r="B110" s="7">
        <v>1</v>
      </c>
      <c r="C110" s="7">
        <v>2</v>
      </c>
      <c r="D110" s="7">
        <v>3</v>
      </c>
      <c r="E110" s="7">
        <v>4</v>
      </c>
      <c r="F110" s="7">
        <v>5</v>
      </c>
      <c r="G110" s="7">
        <v>6</v>
      </c>
      <c r="H110" s="7">
        <v>7</v>
      </c>
      <c r="I110" s="7">
        <v>8</v>
      </c>
      <c r="J110" s="7">
        <v>9</v>
      </c>
      <c r="K110" s="7">
        <v>10</v>
      </c>
      <c r="L110" s="7">
        <v>11</v>
      </c>
      <c r="M110" s="7">
        <v>12</v>
      </c>
      <c r="N110" s="7">
        <v>13</v>
      </c>
      <c r="O110" s="7">
        <v>14</v>
      </c>
      <c r="P110" s="7" t="s">
        <v>43</v>
      </c>
      <c r="Q110" s="7" t="s">
        <v>61</v>
      </c>
    </row>
    <row r="111" spans="1:17" x14ac:dyDescent="0.2">
      <c r="A111" s="7">
        <v>1</v>
      </c>
      <c r="B111" s="7">
        <v>263.86259999999999</v>
      </c>
      <c r="C111" s="7">
        <v>35.867400000000004</v>
      </c>
      <c r="D111" s="7">
        <v>66.811179999999993</v>
      </c>
      <c r="E111" s="7">
        <v>3.9673080000000001</v>
      </c>
      <c r="F111" s="7">
        <v>0.286881</v>
      </c>
      <c r="G111" s="7">
        <v>0</v>
      </c>
      <c r="H111" s="7">
        <v>2.0933000000000002E-3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f ca="1">SUM(OFFSET($A$109,2,1,1,14))</f>
        <v>370.79746230000001</v>
      </c>
      <c r="Q111" s="7">
        <f ca="1">SUM(OFFSET($A$109,2,1,1,12))</f>
        <v>370.79746230000001</v>
      </c>
    </row>
    <row r="112" spans="1:17" x14ac:dyDescent="0.2">
      <c r="A112" s="7">
        <v>2</v>
      </c>
      <c r="B112" s="7">
        <v>56.471609999999998</v>
      </c>
      <c r="C112" s="7">
        <v>651.85</v>
      </c>
      <c r="D112" s="7">
        <v>75.667839999999998</v>
      </c>
      <c r="E112" s="7">
        <v>18.960260000000002</v>
      </c>
      <c r="F112" s="7">
        <v>7.3647530000000003</v>
      </c>
      <c r="G112" s="7">
        <v>7.5772099999999995E-2</v>
      </c>
      <c r="H112" s="7">
        <v>1.02392E-2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f ca="1">SUM(OFFSET($A$109,3,1,1,14))</f>
        <v>810.40047429999981</v>
      </c>
      <c r="Q112" s="7">
        <f ca="1">SUM(OFFSET($A$109,3,1,1,12))</f>
        <v>810.40047429999981</v>
      </c>
    </row>
    <row r="113" spans="1:17" x14ac:dyDescent="0.2">
      <c r="A113" s="7">
        <v>3</v>
      </c>
      <c r="B113" s="7">
        <v>60.579700000000003</v>
      </c>
      <c r="C113" s="7">
        <v>50.443640000000002</v>
      </c>
      <c r="D113" s="7">
        <v>855.6653</v>
      </c>
      <c r="E113" s="7">
        <v>980.88520000000005</v>
      </c>
      <c r="F113" s="7">
        <v>42.475279999999998</v>
      </c>
      <c r="G113" s="7">
        <v>0.58775770000000005</v>
      </c>
      <c r="H113" s="7">
        <v>12.87186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f ca="1">SUM(OFFSET($A$109,4,1,1,14))</f>
        <v>2003.5087377000002</v>
      </c>
      <c r="Q113" s="7">
        <f ca="1">SUM(OFFSET($A$109,4,1,1,12))</f>
        <v>2003.5087377000002</v>
      </c>
    </row>
    <row r="114" spans="1:17" x14ac:dyDescent="0.2">
      <c r="A114" s="7">
        <v>4</v>
      </c>
      <c r="B114" s="7">
        <v>4.5143620000000002</v>
      </c>
      <c r="C114" s="7">
        <v>17.794920000000001</v>
      </c>
      <c r="D114" s="7">
        <v>1515.998</v>
      </c>
      <c r="E114" s="7">
        <v>6540.7669999999998</v>
      </c>
      <c r="F114" s="7">
        <v>127.0624</v>
      </c>
      <c r="G114" s="7">
        <v>2.4282300000000001</v>
      </c>
      <c r="H114" s="7">
        <v>55.927770000000002</v>
      </c>
      <c r="I114" s="7">
        <v>0.54955229999999999</v>
      </c>
      <c r="J114" s="7">
        <v>0.38295630000000003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f ca="1">SUM(OFFSET($A$109,5,1,1,14))</f>
        <v>8265.4251906000009</v>
      </c>
      <c r="Q114" s="7">
        <f ca="1">SUM(OFFSET($A$109,5,1,1,12))</f>
        <v>8265.4251906000009</v>
      </c>
    </row>
    <row r="115" spans="1:17" x14ac:dyDescent="0.2">
      <c r="A115" s="7">
        <v>5</v>
      </c>
      <c r="B115" s="7">
        <v>0.38547120000000001</v>
      </c>
      <c r="C115" s="7">
        <v>7.582109</v>
      </c>
      <c r="D115" s="7">
        <v>79.093059999999994</v>
      </c>
      <c r="E115" s="7">
        <v>130.2029</v>
      </c>
      <c r="F115" s="7">
        <v>784.98329999999999</v>
      </c>
      <c r="G115" s="7">
        <v>47.313200000000002</v>
      </c>
      <c r="H115" s="7">
        <v>6.774502</v>
      </c>
      <c r="I115" s="7">
        <v>1.9665570000000001</v>
      </c>
      <c r="J115" s="7">
        <v>14.983879999999999</v>
      </c>
      <c r="K115" s="7">
        <v>0</v>
      </c>
      <c r="L115" s="7">
        <v>8.3905999999999998E-3</v>
      </c>
      <c r="M115" s="7">
        <v>0</v>
      </c>
      <c r="N115" s="7">
        <v>0</v>
      </c>
      <c r="O115" s="7">
        <v>0</v>
      </c>
      <c r="P115" s="7">
        <f ca="1">SUM(OFFSET($A$109,6,1,1,14))</f>
        <v>1073.2933697999999</v>
      </c>
      <c r="Q115" s="7">
        <f ca="1">SUM(OFFSET($A$109,6,1,1,12))</f>
        <v>1073.2933697999999</v>
      </c>
    </row>
    <row r="116" spans="1:17" x14ac:dyDescent="0.2">
      <c r="A116" s="7">
        <v>6</v>
      </c>
      <c r="B116" s="7">
        <v>0</v>
      </c>
      <c r="C116" s="7">
        <v>7.1401500000000007E-2</v>
      </c>
      <c r="D116" s="7">
        <v>0.99300569999999999</v>
      </c>
      <c r="E116" s="7">
        <v>2.5109780000000002</v>
      </c>
      <c r="F116" s="7">
        <v>47.404879999999999</v>
      </c>
      <c r="G116" s="7">
        <v>698.76949999999999</v>
      </c>
      <c r="H116" s="7">
        <v>0.17652319999999999</v>
      </c>
      <c r="I116" s="7">
        <v>4.8196299999999997E-2</v>
      </c>
      <c r="J116" s="7">
        <v>6.4746009999999998</v>
      </c>
      <c r="K116" s="7">
        <v>0</v>
      </c>
      <c r="L116" s="7">
        <v>2.985465</v>
      </c>
      <c r="M116" s="7">
        <v>4.0664800000000001E-2</v>
      </c>
      <c r="N116" s="7">
        <v>0</v>
      </c>
      <c r="O116" s="7">
        <v>0</v>
      </c>
      <c r="P116" s="7">
        <f ca="1">SUM(OFFSET($A$109,7,1,1,14))</f>
        <v>759.47521549999988</v>
      </c>
      <c r="Q116" s="7">
        <f ca="1">SUM(OFFSET($A$109,7,1,1,12))</f>
        <v>759.47521549999988</v>
      </c>
    </row>
    <row r="117" spans="1:17" x14ac:dyDescent="0.2">
      <c r="A117" s="7">
        <v>7</v>
      </c>
      <c r="B117" s="7">
        <v>6.3739999999999999E-4</v>
      </c>
      <c r="C117" s="7">
        <v>7.6252000000000004E-3</v>
      </c>
      <c r="D117" s="7">
        <v>19.11084</v>
      </c>
      <c r="E117" s="7">
        <v>45.815249999999999</v>
      </c>
      <c r="F117" s="7">
        <v>6.6515110000000002</v>
      </c>
      <c r="G117" s="7">
        <v>0.16670950000000001</v>
      </c>
      <c r="H117" s="7">
        <v>600.96489999999994</v>
      </c>
      <c r="I117" s="7">
        <v>4.8851199999999997</v>
      </c>
      <c r="J117" s="7">
        <v>1.205932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f ca="1">SUM(OFFSET($A$109,8,1,1,14))</f>
        <v>678.80852509999988</v>
      </c>
      <c r="Q117" s="7">
        <f ca="1">SUM(OFFSET($A$109,8,1,1,12))</f>
        <v>678.80852509999988</v>
      </c>
    </row>
    <row r="118" spans="1:17" x14ac:dyDescent="0.2">
      <c r="A118" s="7">
        <v>8</v>
      </c>
      <c r="B118" s="7">
        <v>0</v>
      </c>
      <c r="C118" s="7">
        <v>0</v>
      </c>
      <c r="D118" s="7">
        <v>0</v>
      </c>
      <c r="E118" s="7">
        <v>0.24081459999999999</v>
      </c>
      <c r="F118" s="7">
        <v>1.953657</v>
      </c>
      <c r="G118" s="7">
        <v>4.5243499999999999E-2</v>
      </c>
      <c r="H118" s="7">
        <v>3.5715319999999999</v>
      </c>
      <c r="I118" s="7">
        <v>216.1328</v>
      </c>
      <c r="J118" s="7">
        <v>4.6928190000000001</v>
      </c>
      <c r="K118" s="7">
        <v>9.4524700000000003E-2</v>
      </c>
      <c r="L118" s="7">
        <v>0</v>
      </c>
      <c r="M118" s="7">
        <v>0</v>
      </c>
      <c r="N118" s="7">
        <v>0</v>
      </c>
      <c r="O118" s="7">
        <v>0</v>
      </c>
      <c r="P118" s="7">
        <f ca="1">SUM(OFFSET($A$109,9,1,1,14))</f>
        <v>226.73139080000001</v>
      </c>
      <c r="Q118" s="7">
        <f ca="1">SUM(OFFSET($A$109,9,1,1,12))</f>
        <v>226.73139080000001</v>
      </c>
    </row>
    <row r="119" spans="1:17" x14ac:dyDescent="0.2">
      <c r="A119" s="7">
        <v>9</v>
      </c>
      <c r="B119" s="7">
        <v>0</v>
      </c>
      <c r="C119" s="7">
        <v>0</v>
      </c>
      <c r="D119" s="7">
        <v>0</v>
      </c>
      <c r="E119" s="7">
        <v>0.33305879999999999</v>
      </c>
      <c r="F119" s="7">
        <v>13.518319999999999</v>
      </c>
      <c r="G119" s="7">
        <v>6.2643579999999996</v>
      </c>
      <c r="H119" s="7">
        <v>1.3218510000000001</v>
      </c>
      <c r="I119" s="7">
        <v>5.7350380000000003</v>
      </c>
      <c r="J119" s="7">
        <v>1032.088</v>
      </c>
      <c r="K119" s="7">
        <v>18.289919999999999</v>
      </c>
      <c r="L119" s="7">
        <v>0.25788090000000002</v>
      </c>
      <c r="M119" s="7">
        <v>20.602229999999999</v>
      </c>
      <c r="N119" s="7">
        <v>0</v>
      </c>
      <c r="O119" s="7">
        <v>0</v>
      </c>
      <c r="P119" s="7">
        <f ca="1">SUM(OFFSET($A$109,10,1,1,14))</f>
        <v>1098.4106566999999</v>
      </c>
      <c r="Q119" s="7">
        <f ca="1">SUM(OFFSET($A$109,10,1,1,12))</f>
        <v>1098.4106566999999</v>
      </c>
    </row>
    <row r="120" spans="1:17" x14ac:dyDescent="0.2">
      <c r="A120" s="7">
        <v>10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9.4299499999999994E-2</v>
      </c>
      <c r="J120" s="7">
        <v>15.670489999999999</v>
      </c>
      <c r="K120" s="7">
        <v>360.02379999999999</v>
      </c>
      <c r="L120" s="7">
        <v>0</v>
      </c>
      <c r="M120" s="7">
        <v>2.0332699999999999</v>
      </c>
      <c r="N120" s="7">
        <v>0</v>
      </c>
      <c r="O120" s="7">
        <v>0</v>
      </c>
      <c r="P120" s="7">
        <f ca="1">SUM(OFFSET($A$109,11,1,1,14))</f>
        <v>377.82185950000002</v>
      </c>
      <c r="Q120" s="7">
        <f ca="1">SUM(OFFSET($A$109,11,1,1,12))</f>
        <v>377.82185950000002</v>
      </c>
    </row>
    <row r="121" spans="1:17" x14ac:dyDescent="0.2">
      <c r="A121" s="7">
        <v>11</v>
      </c>
      <c r="B121" s="7">
        <v>0</v>
      </c>
      <c r="C121" s="7">
        <v>0</v>
      </c>
      <c r="D121" s="7">
        <v>0</v>
      </c>
      <c r="E121" s="7">
        <v>0</v>
      </c>
      <c r="F121" s="7">
        <v>5.4285999999999996E-3</v>
      </c>
      <c r="G121" s="7">
        <v>2.9029919999999998</v>
      </c>
      <c r="H121" s="7">
        <v>0</v>
      </c>
      <c r="I121" s="7">
        <v>0</v>
      </c>
      <c r="J121" s="7">
        <v>0.27899449999999998</v>
      </c>
      <c r="K121" s="7">
        <v>0</v>
      </c>
      <c r="L121" s="7">
        <v>140.3237</v>
      </c>
      <c r="M121" s="7">
        <v>1.3670770000000001</v>
      </c>
      <c r="N121" s="7">
        <v>0.62562689999999999</v>
      </c>
      <c r="O121" s="7">
        <v>1.7388E-3</v>
      </c>
      <c r="P121" s="7">
        <f ca="1">SUM(OFFSET($A$109,12,1,1,14))</f>
        <v>145.50555779999999</v>
      </c>
      <c r="Q121" s="7">
        <f ca="1">SUM(OFFSET($A$109,12,1,1,12))</f>
        <v>144.87819210000001</v>
      </c>
    </row>
    <row r="122" spans="1:17" x14ac:dyDescent="0.2">
      <c r="A122" s="7">
        <v>12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4.8364499999999998E-2</v>
      </c>
      <c r="H122" s="7">
        <v>0</v>
      </c>
      <c r="I122" s="7">
        <v>0</v>
      </c>
      <c r="J122" s="7">
        <v>18.862829999999999</v>
      </c>
      <c r="K122" s="7">
        <v>2.007377</v>
      </c>
      <c r="L122" s="7">
        <v>1.4212819999999999</v>
      </c>
      <c r="M122" s="7">
        <v>188.2037</v>
      </c>
      <c r="N122" s="7">
        <v>7.7220000000000001E-4</v>
      </c>
      <c r="O122" s="7">
        <v>2.968038</v>
      </c>
      <c r="P122" s="7">
        <f ca="1">SUM(OFFSET($A$109,13,1,1,14))</f>
        <v>213.51236370000001</v>
      </c>
      <c r="Q122" s="7">
        <f ca="1">SUM(OFFSET($A$109,13,1,1,12))</f>
        <v>210.5435535</v>
      </c>
    </row>
    <row r="123" spans="1:17" x14ac:dyDescent="0.2">
      <c r="A123" s="7">
        <v>13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0.63320469999999995</v>
      </c>
      <c r="M123" s="7">
        <v>7.8950000000000005E-4</v>
      </c>
      <c r="N123" s="7">
        <v>66.11627</v>
      </c>
      <c r="O123" s="7">
        <v>2.4238979999999999</v>
      </c>
      <c r="P123" s="7">
        <f ca="1">SUM(OFFSET($A$109,14,1,1,14))</f>
        <v>69.174162199999998</v>
      </c>
      <c r="Q123" s="7">
        <f ca="1">SUM(OFFSET($A$109,14,1,1,12))</f>
        <v>0.63399419999999995</v>
      </c>
    </row>
    <row r="124" spans="1:17" x14ac:dyDescent="0.2">
      <c r="A124" s="7">
        <v>14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1.8186999999999999E-3</v>
      </c>
      <c r="M124" s="7">
        <v>2.9151820000000002</v>
      </c>
      <c r="N124" s="7">
        <v>2.2991769999999998</v>
      </c>
      <c r="O124" s="7">
        <v>377.73509999999999</v>
      </c>
      <c r="P124" s="7">
        <f ca="1">SUM(OFFSET($A$109,15,1,1,14))</f>
        <v>382.95127769999999</v>
      </c>
      <c r="Q124" s="7">
        <f ca="1">SUM(OFFSET($A$109,15,1,1,12))</f>
        <v>2.9170007</v>
      </c>
    </row>
    <row r="125" spans="1:17" x14ac:dyDescent="0.2">
      <c r="A125" s="7" t="s">
        <v>43</v>
      </c>
      <c r="B125" s="7">
        <f ca="1">SUM(OFFSET($A$109,2,1,14,1))</f>
        <v>385.81438059999999</v>
      </c>
      <c r="C125" s="7">
        <f ca="1">SUM(OFFSET($A$109,2,2,14,1))</f>
        <v>763.61709569999994</v>
      </c>
      <c r="D125" s="7">
        <f ca="1">SUM(OFFSET($A$109,2,3,14,1))</f>
        <v>2613.3392257</v>
      </c>
      <c r="E125" s="7">
        <f ca="1">SUM(OFFSET($A$109,2,4,14,1))</f>
        <v>7723.6827693999994</v>
      </c>
      <c r="F125" s="7">
        <f ca="1">SUM(OFFSET($A$109,2,5,14,1))</f>
        <v>1031.7064106</v>
      </c>
      <c r="G125" s="7">
        <f ca="1">SUM(OFFSET($A$109,2,6,14,1))</f>
        <v>758.60212730000012</v>
      </c>
      <c r="H125" s="7">
        <f ca="1">SUM(OFFSET($A$109,2,7,14,1))</f>
        <v>681.62127070000008</v>
      </c>
      <c r="I125" s="7">
        <f ca="1">SUM(OFFSET($A$109,2,8,14,1))</f>
        <v>229.41156310000002</v>
      </c>
      <c r="J125" s="7">
        <f ca="1">SUM(OFFSET($A$109,2,9,14,1))</f>
        <v>1094.6405027999999</v>
      </c>
      <c r="K125" s="7">
        <f ca="1">SUM(OFFSET($A$109,2,10,14,1))</f>
        <v>380.41562170000003</v>
      </c>
      <c r="L125" s="7">
        <f ca="1">SUM(OFFSET($A$109,2,11,14,1))</f>
        <v>145.63174189999998</v>
      </c>
      <c r="M125" s="7">
        <f ca="1">SUM(OFFSET($A$109,2,12,14,1))</f>
        <v>215.16291329999999</v>
      </c>
      <c r="N125" s="7">
        <f ca="1">SUM(OFFSET($A$109,2,13,14,1))</f>
        <v>69.041846100000001</v>
      </c>
      <c r="O125" s="7">
        <f ca="1">SUM(OFFSET($A$109,2,14,14,1))</f>
        <v>383.12877479999997</v>
      </c>
      <c r="P125" s="7">
        <f ca="1">SUM(OFFSET($A$109,16,1,1,14))</f>
        <v>16475.816243700003</v>
      </c>
      <c r="Q125" s="7">
        <f ca="1">SUM(OFFSET($A$109,16,1,1,12))</f>
        <v>16023.645622800002</v>
      </c>
    </row>
    <row r="126" spans="1:17" x14ac:dyDescent="0.2">
      <c r="O126" s="12" t="s">
        <v>59</v>
      </c>
      <c r="P126" s="7">
        <f ca="1">SUM(OFFSET($B$111,0,0,12,12))</f>
        <v>16020.094627900005</v>
      </c>
    </row>
    <row r="127" spans="1:17" x14ac:dyDescent="0.2">
      <c r="A127" s="7" t="s">
        <v>101</v>
      </c>
    </row>
    <row r="128" spans="1:17" x14ac:dyDescent="0.2">
      <c r="B128" s="7">
        <v>1</v>
      </c>
      <c r="C128" s="7">
        <v>2</v>
      </c>
      <c r="D128" s="7">
        <v>3</v>
      </c>
      <c r="E128" s="7">
        <v>4</v>
      </c>
      <c r="F128" s="7">
        <v>5</v>
      </c>
      <c r="G128" s="7">
        <v>6</v>
      </c>
      <c r="H128" s="7">
        <v>7</v>
      </c>
      <c r="I128" s="7">
        <v>8</v>
      </c>
      <c r="J128" s="7">
        <v>9</v>
      </c>
      <c r="K128" s="7">
        <v>10</v>
      </c>
      <c r="L128" s="7">
        <v>11</v>
      </c>
      <c r="M128" s="7">
        <v>12</v>
      </c>
      <c r="N128" s="7">
        <v>13</v>
      </c>
      <c r="O128" s="7">
        <v>14</v>
      </c>
      <c r="P128" s="7" t="s">
        <v>43</v>
      </c>
      <c r="Q128" s="7" t="s">
        <v>61</v>
      </c>
    </row>
    <row r="129" spans="1:17" x14ac:dyDescent="0.2">
      <c r="A129" s="7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f ca="1">SUM(OFFSET($A$127,2,1,1,14))</f>
        <v>0</v>
      </c>
      <c r="Q129" s="7">
        <f ca="1">SUM(OFFSET($A$127,2,1,1,12))</f>
        <v>0</v>
      </c>
    </row>
    <row r="130" spans="1:17" x14ac:dyDescent="0.2">
      <c r="A130" s="7">
        <v>2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f ca="1">SUM(OFFSET($A$127,3,1,1,14))</f>
        <v>0</v>
      </c>
      <c r="Q130" s="7">
        <f ca="1">SUM(OFFSET($A$127,3,1,1,12))</f>
        <v>0</v>
      </c>
    </row>
    <row r="131" spans="1:17" x14ac:dyDescent="0.2">
      <c r="A131" s="7">
        <v>3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f ca="1">SUM(OFFSET($A$127,4,1,1,14))</f>
        <v>0</v>
      </c>
      <c r="Q131" s="7">
        <f ca="1">SUM(OFFSET($A$127,4,1,1,12))</f>
        <v>0</v>
      </c>
    </row>
    <row r="132" spans="1:17" x14ac:dyDescent="0.2">
      <c r="A132" s="7">
        <v>4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f ca="1">SUM(OFFSET($A$127,5,1,1,14))</f>
        <v>0</v>
      </c>
      <c r="Q132" s="7">
        <f ca="1">SUM(OFFSET($A$127,5,1,1,12))</f>
        <v>0</v>
      </c>
    </row>
    <row r="133" spans="1:17" x14ac:dyDescent="0.2">
      <c r="A133" s="7">
        <v>5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f ca="1">SUM(OFFSET($A$127,6,1,1,14))</f>
        <v>0</v>
      </c>
      <c r="Q133" s="7">
        <f ca="1">SUM(OFFSET($A$127,6,1,1,12))</f>
        <v>0</v>
      </c>
    </row>
    <row r="134" spans="1:17" x14ac:dyDescent="0.2">
      <c r="A134" s="7">
        <v>6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f ca="1">SUM(OFFSET($A$127,7,1,1,14))</f>
        <v>0</v>
      </c>
      <c r="Q134" s="7">
        <f ca="1">SUM(OFFSET($A$127,7,1,1,12))</f>
        <v>0</v>
      </c>
    </row>
    <row r="135" spans="1:17" x14ac:dyDescent="0.2">
      <c r="A135" s="7">
        <v>7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f ca="1">SUM(OFFSET($A$127,8,1,1,14))</f>
        <v>0</v>
      </c>
      <c r="Q135" s="7">
        <f ca="1">SUM(OFFSET($A$127,8,1,1,12))</f>
        <v>0</v>
      </c>
    </row>
    <row r="136" spans="1:17" x14ac:dyDescent="0.2">
      <c r="A136" s="7">
        <v>8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f ca="1">SUM(OFFSET($A$127,9,1,1,14))</f>
        <v>0</v>
      </c>
      <c r="Q136" s="7">
        <f ca="1">SUM(OFFSET($A$127,9,1,1,12))</f>
        <v>0</v>
      </c>
    </row>
    <row r="137" spans="1:17" x14ac:dyDescent="0.2">
      <c r="A137" s="7">
        <v>9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f ca="1">SUM(OFFSET($A$127,10,1,1,14))</f>
        <v>0</v>
      </c>
      <c r="Q137" s="7">
        <f ca="1">SUM(OFFSET($A$127,10,1,1,12))</f>
        <v>0</v>
      </c>
    </row>
    <row r="138" spans="1:17" x14ac:dyDescent="0.2">
      <c r="A138" s="7">
        <v>10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f ca="1">SUM(OFFSET($A$127,11,1,1,14))</f>
        <v>0</v>
      </c>
      <c r="Q138" s="7">
        <f ca="1">SUM(OFFSET($A$127,11,1,1,12))</f>
        <v>0</v>
      </c>
    </row>
    <row r="139" spans="1:17" x14ac:dyDescent="0.2">
      <c r="A139" s="7">
        <v>11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f ca="1">SUM(OFFSET($A$127,12,1,1,14))</f>
        <v>0</v>
      </c>
      <c r="Q139" s="7">
        <f ca="1">SUM(OFFSET($A$127,12,1,1,12))</f>
        <v>0</v>
      </c>
    </row>
    <row r="140" spans="1:17" x14ac:dyDescent="0.2">
      <c r="A140" s="7">
        <v>12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f ca="1">SUM(OFFSET($A$127,13,1,1,14))</f>
        <v>0</v>
      </c>
      <c r="Q140" s="7">
        <f ca="1">SUM(OFFSET($A$127,13,1,1,12))</f>
        <v>0</v>
      </c>
    </row>
    <row r="141" spans="1:17" x14ac:dyDescent="0.2">
      <c r="A141" s="7">
        <v>13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f ca="1">SUM(OFFSET($A$127,14,1,1,14))</f>
        <v>0</v>
      </c>
      <c r="Q141" s="7">
        <f ca="1">SUM(OFFSET($A$127,14,1,1,12))</f>
        <v>0</v>
      </c>
    </row>
    <row r="142" spans="1:17" x14ac:dyDescent="0.2">
      <c r="A142" s="7">
        <v>14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f ca="1">SUM(OFFSET($A$127,15,1,1,14))</f>
        <v>0</v>
      </c>
      <c r="Q142" s="7">
        <f ca="1">SUM(OFFSET($A$127,15,1,1,12))</f>
        <v>0</v>
      </c>
    </row>
    <row r="143" spans="1:17" x14ac:dyDescent="0.2">
      <c r="A143" s="7" t="s">
        <v>43</v>
      </c>
      <c r="B143" s="7">
        <f ca="1">SUM(OFFSET($A$127,2,1,14,1))</f>
        <v>0</v>
      </c>
      <c r="C143" s="7">
        <f ca="1">SUM(OFFSET($A$127,2,2,14,1))</f>
        <v>0</v>
      </c>
      <c r="D143" s="7">
        <f ca="1">SUM(OFFSET($A$127,2,3,14,1))</f>
        <v>0</v>
      </c>
      <c r="E143" s="7">
        <f ca="1">SUM(OFFSET($A$127,2,4,14,1))</f>
        <v>0</v>
      </c>
      <c r="F143" s="7">
        <f ca="1">SUM(OFFSET($A$127,2,5,14,1))</f>
        <v>0</v>
      </c>
      <c r="G143" s="7">
        <f ca="1">SUM(OFFSET($A$127,2,6,14,1))</f>
        <v>0</v>
      </c>
      <c r="H143" s="7">
        <f ca="1">SUM(OFFSET($A$127,2,7,14,1))</f>
        <v>0</v>
      </c>
      <c r="I143" s="7">
        <f ca="1">SUM(OFFSET($A$127,2,8,14,1))</f>
        <v>0</v>
      </c>
      <c r="J143" s="7">
        <f ca="1">SUM(OFFSET($A$127,2,9,14,1))</f>
        <v>0</v>
      </c>
      <c r="K143" s="7">
        <f ca="1">SUM(OFFSET($A$127,2,10,14,1))</f>
        <v>0</v>
      </c>
      <c r="L143" s="7">
        <f ca="1">SUM(OFFSET($A$127,2,11,14,1))</f>
        <v>0</v>
      </c>
      <c r="M143" s="7">
        <f ca="1">SUM(OFFSET($A$127,2,12,14,1))</f>
        <v>0</v>
      </c>
      <c r="N143" s="7">
        <f ca="1">SUM(OFFSET($A$127,2,13,14,1))</f>
        <v>0</v>
      </c>
      <c r="O143" s="7">
        <f ca="1">SUM(OFFSET($A$127,2,14,14,1))</f>
        <v>0</v>
      </c>
      <c r="P143" s="7">
        <f ca="1">SUM(OFFSET($A$127,16,1,1,14))</f>
        <v>0</v>
      </c>
      <c r="Q143" s="7">
        <f ca="1">SUM(OFFSET($A$127,16,1,1,12))</f>
        <v>0</v>
      </c>
    </row>
    <row r="144" spans="1:17" x14ac:dyDescent="0.2">
      <c r="O144" s="12" t="s">
        <v>59</v>
      </c>
      <c r="P144" s="7">
        <f ca="1">SUM(OFFSET($B$129,0,0,12,12))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15" width="6.28515625" style="7"/>
    <col min="16" max="17" width="7.7109375" style="7" customWidth="1"/>
    <col min="18" max="18" width="40.7109375" style="7" customWidth="1"/>
    <col min="19" max="16384" width="6.28515625" style="7"/>
  </cols>
  <sheetData>
    <row r="1" spans="1:20" x14ac:dyDescent="0.2">
      <c r="A1" s="7" t="s">
        <v>87</v>
      </c>
    </row>
    <row r="2" spans="1:20" x14ac:dyDescent="0.2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 t="s">
        <v>43</v>
      </c>
      <c r="Q2" s="7" t="s">
        <v>61</v>
      </c>
      <c r="R2" s="7" t="s">
        <v>86</v>
      </c>
      <c r="S2" s="7">
        <f ca="1">OFFSET(A1,16,15)</f>
        <v>218404.79293020006</v>
      </c>
      <c r="T2" s="7">
        <f ca="1">OFFSET(A1,17,15)</f>
        <v>186255.51677010008</v>
      </c>
    </row>
    <row r="3" spans="1:20" x14ac:dyDescent="0.2">
      <c r="A3" s="7">
        <v>1</v>
      </c>
      <c r="B3" s="7">
        <v>2468.4090000000001</v>
      </c>
      <c r="C3" s="7">
        <v>1230.6020000000001</v>
      </c>
      <c r="D3" s="7">
        <v>340.56900000000002</v>
      </c>
      <c r="E3" s="7">
        <v>318.0926</v>
      </c>
      <c r="F3" s="7">
        <v>65.163820000000001</v>
      </c>
      <c r="G3" s="7">
        <v>7.5499229999999997</v>
      </c>
      <c r="H3" s="7">
        <v>14.830349999999999</v>
      </c>
      <c r="I3" s="7">
        <v>0.52578829999999999</v>
      </c>
      <c r="J3" s="7">
        <v>2.4739529999999998</v>
      </c>
      <c r="K3" s="7">
        <v>0.18951190000000001</v>
      </c>
      <c r="L3" s="7">
        <v>0.4455944</v>
      </c>
      <c r="M3" s="7">
        <v>0.230548</v>
      </c>
      <c r="N3" s="7">
        <v>3.4783000000000001E-3</v>
      </c>
      <c r="O3" s="7">
        <v>3.9275999999999998E-3</v>
      </c>
      <c r="P3" s="7">
        <f ca="1">SUM(OFFSET($A$1,2,1,1,14))</f>
        <v>4449.0894945000009</v>
      </c>
      <c r="Q3" s="7">
        <f ca="1">SUM(OFFSET($A$1,2,1,1,12))</f>
        <v>4449.082088600001</v>
      </c>
      <c r="R3" s="7" t="s">
        <v>88</v>
      </c>
      <c r="S3" s="7">
        <f ca="1">OFFSET(A1,34,15)</f>
        <v>150379.2491211</v>
      </c>
      <c r="T3" s="7">
        <f ca="1">OFFSET(A1,35,15)</f>
        <v>128205.23194930001</v>
      </c>
    </row>
    <row r="4" spans="1:20" x14ac:dyDescent="0.2">
      <c r="A4" s="7">
        <v>2</v>
      </c>
      <c r="B4" s="7">
        <v>1229.6780000000001</v>
      </c>
      <c r="C4" s="7">
        <v>9789.7189999999991</v>
      </c>
      <c r="D4" s="7">
        <v>406.22699999999998</v>
      </c>
      <c r="E4" s="7">
        <v>1052.1969999999999</v>
      </c>
      <c r="F4" s="7">
        <v>369.74540000000002</v>
      </c>
      <c r="G4" s="7">
        <v>97.791550000000001</v>
      </c>
      <c r="H4" s="7">
        <v>44.496299999999998</v>
      </c>
      <c r="I4" s="7">
        <v>2.205492</v>
      </c>
      <c r="J4" s="7">
        <v>76.840379999999996</v>
      </c>
      <c r="K4" s="7">
        <v>1.1209</v>
      </c>
      <c r="L4" s="7">
        <v>13.974</v>
      </c>
      <c r="M4" s="7">
        <v>7.2699340000000001</v>
      </c>
      <c r="N4" s="7">
        <v>4.9361599999999999E-2</v>
      </c>
      <c r="O4" s="7">
        <v>5.6268100000000001E-2</v>
      </c>
      <c r="P4" s="7">
        <f ca="1">SUM(OFFSET($A$1,3,1,1,14))</f>
        <v>13091.370585699999</v>
      </c>
      <c r="Q4" s="7">
        <f ca="1">SUM(OFFSET($A$1,3,1,1,12))</f>
        <v>13091.264955999999</v>
      </c>
      <c r="R4" s="7" t="s">
        <v>90</v>
      </c>
      <c r="S4" s="7">
        <f ca="1">OFFSET(A1,52,15)</f>
        <v>0</v>
      </c>
      <c r="T4" s="7">
        <f ca="1">OFFSET(A1,53,15)</f>
        <v>0</v>
      </c>
    </row>
    <row r="5" spans="1:20" x14ac:dyDescent="0.2">
      <c r="A5" s="7">
        <v>3</v>
      </c>
      <c r="B5" s="7">
        <v>404.33580000000001</v>
      </c>
      <c r="C5" s="7">
        <v>505.55529999999999</v>
      </c>
      <c r="D5" s="7">
        <v>1766.2380000000001</v>
      </c>
      <c r="E5" s="7">
        <v>2305.866</v>
      </c>
      <c r="F5" s="7">
        <v>457.06119999999999</v>
      </c>
      <c r="G5" s="7">
        <v>140.5831</v>
      </c>
      <c r="H5" s="7">
        <v>347.05250000000001</v>
      </c>
      <c r="I5" s="7">
        <v>33.648670000000003</v>
      </c>
      <c r="J5" s="7">
        <v>160.929</v>
      </c>
      <c r="K5" s="7">
        <v>16.498200000000001</v>
      </c>
      <c r="L5" s="7">
        <v>18.615459999999999</v>
      </c>
      <c r="M5" s="7">
        <v>10.1191</v>
      </c>
      <c r="N5" s="7">
        <v>0.12539239999999999</v>
      </c>
      <c r="O5" s="7">
        <v>0.1910512</v>
      </c>
      <c r="P5" s="7">
        <f ca="1">SUM(OFFSET($A$1,4,1,1,14))</f>
        <v>6166.8187736</v>
      </c>
      <c r="Q5" s="7">
        <f ca="1">SUM(OFFSET($A$1,4,1,1,12))</f>
        <v>6166.5023299999993</v>
      </c>
      <c r="R5" s="7" t="s">
        <v>92</v>
      </c>
      <c r="S5" s="7">
        <f ca="1">OFFSET(A1,70,15)</f>
        <v>33384.219158400003</v>
      </c>
      <c r="T5" s="7">
        <f ca="1">OFFSET(A1,71,15)</f>
        <v>32277.845852000002</v>
      </c>
    </row>
    <row r="6" spans="1:20" x14ac:dyDescent="0.2">
      <c r="A6" s="7">
        <v>4</v>
      </c>
      <c r="B6" s="7">
        <v>302.16609999999997</v>
      </c>
      <c r="C6" s="7">
        <v>1025.7370000000001</v>
      </c>
      <c r="D6" s="7">
        <v>1866.4570000000001</v>
      </c>
      <c r="E6" s="7">
        <v>26868.880000000001</v>
      </c>
      <c r="F6" s="7">
        <v>3368.6930000000002</v>
      </c>
      <c r="G6" s="7">
        <v>351.20089999999999</v>
      </c>
      <c r="H6" s="7">
        <v>1964.82</v>
      </c>
      <c r="I6" s="7">
        <v>354.04489999999998</v>
      </c>
      <c r="J6" s="7">
        <v>600.88070000000005</v>
      </c>
      <c r="K6" s="7">
        <v>67.518529999999998</v>
      </c>
      <c r="L6" s="7">
        <v>55.69558</v>
      </c>
      <c r="M6" s="7">
        <v>64.558000000000007</v>
      </c>
      <c r="N6" s="7">
        <v>0.90081319999999998</v>
      </c>
      <c r="O6" s="7">
        <v>0.68967840000000002</v>
      </c>
      <c r="P6" s="7">
        <f ca="1">SUM(OFFSET($A$1,5,1,1,14))</f>
        <v>36892.242201600006</v>
      </c>
      <c r="Q6" s="7">
        <f ca="1">SUM(OFFSET($A$1,5,1,1,12))</f>
        <v>36890.651710000006</v>
      </c>
      <c r="R6" s="7" t="s">
        <v>94</v>
      </c>
      <c r="S6" s="7">
        <f ca="1">OFFSET(A1,88,15)</f>
        <v>22521.138445800003</v>
      </c>
      <c r="T6" s="7">
        <f ca="1">OFFSET(A1,89,15)</f>
        <v>22511.742848799993</v>
      </c>
    </row>
    <row r="7" spans="1:20" x14ac:dyDescent="0.2">
      <c r="A7" s="7">
        <v>5</v>
      </c>
      <c r="B7" s="7">
        <v>64.089600000000004</v>
      </c>
      <c r="C7" s="7">
        <v>364.94380000000001</v>
      </c>
      <c r="D7" s="7">
        <v>363.3546</v>
      </c>
      <c r="E7" s="7">
        <v>3439.8620000000001</v>
      </c>
      <c r="F7" s="7">
        <v>15335.52</v>
      </c>
      <c r="G7" s="7">
        <v>2136.125</v>
      </c>
      <c r="H7" s="7">
        <v>440.64710000000002</v>
      </c>
      <c r="I7" s="7">
        <v>37.047150000000002</v>
      </c>
      <c r="J7" s="7">
        <v>889.39390000000003</v>
      </c>
      <c r="K7" s="7">
        <v>49.428959999999996</v>
      </c>
      <c r="L7" s="7">
        <v>185.90389999999999</v>
      </c>
      <c r="M7" s="7">
        <v>158.5515</v>
      </c>
      <c r="N7" s="7">
        <v>2.297323</v>
      </c>
      <c r="O7" s="7">
        <v>2.7196180000000001</v>
      </c>
      <c r="P7" s="7">
        <f ca="1">SUM(OFFSET($A$1,6,1,1,14))</f>
        <v>23469.884450999998</v>
      </c>
      <c r="Q7" s="7">
        <f ca="1">SUM(OFFSET($A$1,6,1,1,12))</f>
        <v>23464.86751</v>
      </c>
      <c r="R7" s="7" t="s">
        <v>96</v>
      </c>
      <c r="S7" s="7">
        <f ca="1">OFFSET(A1,106,15)</f>
        <v>42728.89606359999</v>
      </c>
      <c r="T7" s="7">
        <f ca="1">OFFSET(A1,107,15)</f>
        <v>38608.005201600012</v>
      </c>
    </row>
    <row r="8" spans="1:20" x14ac:dyDescent="0.2">
      <c r="A8" s="7">
        <v>6</v>
      </c>
      <c r="B8" s="7">
        <v>7.4769160000000001</v>
      </c>
      <c r="C8" s="7">
        <v>96.918270000000007</v>
      </c>
      <c r="D8" s="7">
        <v>110.4772</v>
      </c>
      <c r="E8" s="7">
        <v>363.02949999999998</v>
      </c>
      <c r="F8" s="7">
        <v>2155.3649999999998</v>
      </c>
      <c r="G8" s="7">
        <v>12246.16</v>
      </c>
      <c r="H8" s="7">
        <v>55.439489999999999</v>
      </c>
      <c r="I8" s="7">
        <v>9.0842369999999999</v>
      </c>
      <c r="J8" s="7">
        <v>688.24279999999999</v>
      </c>
      <c r="K8" s="7">
        <v>31.77365</v>
      </c>
      <c r="L8" s="7">
        <v>701.86509999999998</v>
      </c>
      <c r="M8" s="7">
        <v>102.687</v>
      </c>
      <c r="N8" s="7">
        <v>17.799900000000001</v>
      </c>
      <c r="O8" s="7">
        <v>3.7826930000000001</v>
      </c>
      <c r="P8" s="7">
        <f ca="1">SUM(OFFSET($A$1,7,1,1,14))</f>
        <v>16590.101756000004</v>
      </c>
      <c r="Q8" s="7">
        <f ca="1">SUM(OFFSET($A$1,7,1,1,12))</f>
        <v>16568.519163000001</v>
      </c>
      <c r="R8" s="7" t="s">
        <v>98</v>
      </c>
      <c r="S8" s="7">
        <f ca="1">OFFSET(A1,124,15)</f>
        <v>0</v>
      </c>
      <c r="T8" s="7">
        <f ca="1">OFFSET(A1,125,15)</f>
        <v>0</v>
      </c>
    </row>
    <row r="9" spans="1:20" x14ac:dyDescent="0.2">
      <c r="A9" s="7">
        <v>7</v>
      </c>
      <c r="B9" s="7">
        <v>14.742050000000001</v>
      </c>
      <c r="C9" s="7">
        <v>44.646380000000001</v>
      </c>
      <c r="D9" s="7">
        <v>282.42329999999998</v>
      </c>
      <c r="E9" s="7">
        <v>2039.152</v>
      </c>
      <c r="F9" s="7">
        <v>447.58080000000001</v>
      </c>
      <c r="G9" s="7">
        <v>55.881509999999999</v>
      </c>
      <c r="H9" s="7">
        <v>10753.76</v>
      </c>
      <c r="I9" s="7">
        <v>501.99380000000002</v>
      </c>
      <c r="J9" s="7">
        <v>538.14059999999995</v>
      </c>
      <c r="K9" s="7">
        <v>122.49939999999999</v>
      </c>
      <c r="L9" s="7">
        <v>2.7528350000000001</v>
      </c>
      <c r="M9" s="7">
        <v>28.233550000000001</v>
      </c>
      <c r="N9" s="7">
        <v>4.94847E-2</v>
      </c>
      <c r="O9" s="7">
        <v>0.12746730000000001</v>
      </c>
      <c r="P9" s="7">
        <f ca="1">SUM(OFFSET($A$1,8,1,1,14))</f>
        <v>14831.983177000004</v>
      </c>
      <c r="Q9" s="7">
        <f ca="1">SUM(OFFSET($A$1,8,1,1,12))</f>
        <v>14831.806225000002</v>
      </c>
      <c r="R9" s="7" t="s">
        <v>100</v>
      </c>
      <c r="S9" s="7">
        <f ca="1">OFFSET(A1,142,15)</f>
        <v>0</v>
      </c>
      <c r="T9" s="7">
        <f ca="1">OFFSET(A1,143,15)</f>
        <v>0</v>
      </c>
    </row>
    <row r="10" spans="1:20" x14ac:dyDescent="0.2">
      <c r="A10" s="7">
        <v>8</v>
      </c>
      <c r="B10" s="7">
        <v>0.51475530000000003</v>
      </c>
      <c r="C10" s="7">
        <v>2.1815190000000002</v>
      </c>
      <c r="D10" s="7">
        <v>27.350200000000001</v>
      </c>
      <c r="E10" s="7">
        <v>356.24110000000002</v>
      </c>
      <c r="F10" s="7">
        <v>37.161569999999998</v>
      </c>
      <c r="G10" s="7">
        <v>9.1131539999999998</v>
      </c>
      <c r="H10" s="7">
        <v>498.54199999999997</v>
      </c>
      <c r="I10" s="7">
        <v>3301.1779999999999</v>
      </c>
      <c r="J10" s="7">
        <v>552.42529999999999</v>
      </c>
      <c r="K10" s="7">
        <v>80.266630000000006</v>
      </c>
      <c r="L10" s="7">
        <v>0.32941229999999999</v>
      </c>
      <c r="M10" s="7">
        <v>15.59592</v>
      </c>
      <c r="N10" s="7">
        <v>5.0993999999999996E-3</v>
      </c>
      <c r="O10" s="7">
        <v>5.0749700000000002E-2</v>
      </c>
      <c r="P10" s="7">
        <f ca="1">SUM(OFFSET($A$1,9,1,1,14))</f>
        <v>4880.9554096999991</v>
      </c>
      <c r="Q10" s="7">
        <f ca="1">SUM(OFFSET($A$1,9,1,1,12))</f>
        <v>4880.8995605999989</v>
      </c>
    </row>
    <row r="11" spans="1:20" x14ac:dyDescent="0.2">
      <c r="A11" s="7">
        <v>9</v>
      </c>
      <c r="B11" s="7">
        <v>2.4206259999999999</v>
      </c>
      <c r="C11" s="7">
        <v>75.691770000000005</v>
      </c>
      <c r="D11" s="7">
        <v>124.0475</v>
      </c>
      <c r="E11" s="7">
        <v>612.12390000000005</v>
      </c>
      <c r="F11" s="7">
        <v>888.05139999999994</v>
      </c>
      <c r="G11" s="7">
        <v>680.22149999999999</v>
      </c>
      <c r="H11" s="7">
        <v>531.24770000000001</v>
      </c>
      <c r="I11" s="7">
        <v>550.86339999999996</v>
      </c>
      <c r="J11" s="7">
        <v>26046.76</v>
      </c>
      <c r="K11" s="7">
        <v>1372.1959999999999</v>
      </c>
      <c r="L11" s="7">
        <v>148.51490000000001</v>
      </c>
      <c r="M11" s="7">
        <v>2263.3040000000001</v>
      </c>
      <c r="N11" s="7">
        <v>1.6515249999999999</v>
      </c>
      <c r="O11" s="7">
        <v>83.603319999999997</v>
      </c>
      <c r="P11" s="7">
        <f ca="1">SUM(OFFSET($A$1,10,1,1,14))</f>
        <v>33380.697541000001</v>
      </c>
      <c r="Q11" s="7">
        <f ca="1">SUM(OFFSET($A$1,10,1,1,12))</f>
        <v>33295.442695999998</v>
      </c>
    </row>
    <row r="12" spans="1:20" x14ac:dyDescent="0.2">
      <c r="A12" s="7">
        <v>10</v>
      </c>
      <c r="B12" s="7">
        <v>0.1874229</v>
      </c>
      <c r="C12" s="7">
        <v>1.1121270000000001</v>
      </c>
      <c r="D12" s="7">
        <v>13.277979999999999</v>
      </c>
      <c r="E12" s="7">
        <v>68.909319999999994</v>
      </c>
      <c r="F12" s="7">
        <v>49.321579999999997</v>
      </c>
      <c r="G12" s="7">
        <v>31.528749999999999</v>
      </c>
      <c r="H12" s="7">
        <v>121.0489</v>
      </c>
      <c r="I12" s="7">
        <v>80.036730000000006</v>
      </c>
      <c r="J12" s="7">
        <v>1369.52</v>
      </c>
      <c r="K12" s="7">
        <v>6878.0479999999998</v>
      </c>
      <c r="L12" s="7">
        <v>2.9671449999999999</v>
      </c>
      <c r="M12" s="7">
        <v>529.6191</v>
      </c>
      <c r="N12" s="7">
        <v>6.8300100000000002E-2</v>
      </c>
      <c r="O12" s="7">
        <v>6.1371510000000002</v>
      </c>
      <c r="P12" s="7">
        <f ca="1">SUM(OFFSET($A$1,11,1,1,14))</f>
        <v>9151.7825060000014</v>
      </c>
      <c r="Q12" s="7">
        <f ca="1">SUM(OFFSET($A$1,11,1,1,12))</f>
        <v>9145.5770549000008</v>
      </c>
    </row>
    <row r="13" spans="1:20" x14ac:dyDescent="0.2">
      <c r="A13" s="7">
        <v>11</v>
      </c>
      <c r="B13" s="7">
        <v>0.44456050000000003</v>
      </c>
      <c r="C13" s="7">
        <v>13.950979999999999</v>
      </c>
      <c r="D13" s="7">
        <v>16.573499999999999</v>
      </c>
      <c r="E13" s="7">
        <v>56.511470000000003</v>
      </c>
      <c r="F13" s="7">
        <v>186.89959999999999</v>
      </c>
      <c r="G13" s="7">
        <v>690.34270000000004</v>
      </c>
      <c r="H13" s="7">
        <v>2.7496429999999998</v>
      </c>
      <c r="I13" s="7">
        <v>0.33090989999999998</v>
      </c>
      <c r="J13" s="7">
        <v>149.42080000000001</v>
      </c>
      <c r="K13" s="7">
        <v>2.971657</v>
      </c>
      <c r="L13" s="7">
        <v>8182.2629999999999</v>
      </c>
      <c r="M13" s="7">
        <v>78.885480000000001</v>
      </c>
      <c r="N13" s="7">
        <v>208.9588</v>
      </c>
      <c r="O13" s="7">
        <v>44.19849</v>
      </c>
      <c r="P13" s="7">
        <f ca="1">SUM(OFFSET($A$1,12,1,1,14))</f>
        <v>9634.5015904000011</v>
      </c>
      <c r="Q13" s="7">
        <f ca="1">SUM(OFFSET($A$1,12,1,1,12))</f>
        <v>9381.3443004000001</v>
      </c>
    </row>
    <row r="14" spans="1:20" x14ac:dyDescent="0.2">
      <c r="A14" s="7">
        <v>12</v>
      </c>
      <c r="B14" s="7">
        <v>0.23051859999999999</v>
      </c>
      <c r="C14" s="7">
        <v>7.2609890000000004</v>
      </c>
      <c r="D14" s="7">
        <v>9.1752179999999992</v>
      </c>
      <c r="E14" s="7">
        <v>65.455280000000002</v>
      </c>
      <c r="F14" s="7">
        <v>159.75620000000001</v>
      </c>
      <c r="G14" s="7">
        <v>101.96420000000001</v>
      </c>
      <c r="H14" s="7">
        <v>28.344159999999999</v>
      </c>
      <c r="I14" s="7">
        <v>15.64611</v>
      </c>
      <c r="J14" s="7">
        <v>2262.6959999999999</v>
      </c>
      <c r="K14" s="7">
        <v>529.93780000000004</v>
      </c>
      <c r="L14" s="7">
        <v>78.582700000000003</v>
      </c>
      <c r="M14" s="7">
        <v>10830.51</v>
      </c>
      <c r="N14" s="7">
        <v>30.80517</v>
      </c>
      <c r="O14" s="7">
        <v>846.75549999999998</v>
      </c>
      <c r="P14" s="7">
        <f ca="1">SUM(OFFSET($A$1,13,1,1,14))</f>
        <v>14967.119845599998</v>
      </c>
      <c r="Q14" s="7">
        <f ca="1">SUM(OFFSET($A$1,13,1,1,12))</f>
        <v>14089.559175599999</v>
      </c>
    </row>
    <row r="15" spans="1:20" x14ac:dyDescent="0.2">
      <c r="A15" s="7">
        <v>13</v>
      </c>
      <c r="B15" s="7">
        <v>3.4443999999999998E-3</v>
      </c>
      <c r="C15" s="7">
        <v>4.89413E-2</v>
      </c>
      <c r="D15" s="7">
        <v>0.11865489999999999</v>
      </c>
      <c r="E15" s="7">
        <v>0.89046559999999997</v>
      </c>
      <c r="F15" s="7">
        <v>2.2763499999999999</v>
      </c>
      <c r="G15" s="7">
        <v>17.59609</v>
      </c>
      <c r="H15" s="7">
        <v>4.9147900000000001E-2</v>
      </c>
      <c r="I15" s="7">
        <v>5.0530000000000002E-3</v>
      </c>
      <c r="J15" s="7">
        <v>1.641634</v>
      </c>
      <c r="K15" s="7">
        <v>6.8435700000000002E-2</v>
      </c>
      <c r="L15" s="7">
        <v>207.52629999999999</v>
      </c>
      <c r="M15" s="7">
        <v>30.762920000000001</v>
      </c>
      <c r="N15" s="7">
        <v>4665.1329999999998</v>
      </c>
      <c r="O15" s="7">
        <v>830.03819999999996</v>
      </c>
      <c r="P15" s="7">
        <f ca="1">SUM(OFFSET($A$1,14,1,1,14))</f>
        <v>5756.1586367999998</v>
      </c>
      <c r="Q15" s="7">
        <f ca="1">SUM(OFFSET($A$1,14,1,1,12))</f>
        <v>260.98743680000001</v>
      </c>
    </row>
    <row r="16" spans="1:20" x14ac:dyDescent="0.2">
      <c r="A16" s="7">
        <v>14</v>
      </c>
      <c r="B16" s="7">
        <v>3.9288999999999999E-3</v>
      </c>
      <c r="C16" s="7">
        <v>5.6250000000000001E-2</v>
      </c>
      <c r="D16" s="7">
        <v>0.17655799999999999</v>
      </c>
      <c r="E16" s="7">
        <v>0.68585309999999999</v>
      </c>
      <c r="F16" s="7">
        <v>2.7425229999999998</v>
      </c>
      <c r="G16" s="7">
        <v>3.720529</v>
      </c>
      <c r="H16" s="7">
        <v>0.12822910000000001</v>
      </c>
      <c r="I16" s="7">
        <v>5.0788199999999999E-2</v>
      </c>
      <c r="J16" s="7">
        <v>83.788529999999994</v>
      </c>
      <c r="K16" s="7">
        <v>6.1444320000000001</v>
      </c>
      <c r="L16" s="7">
        <v>43.617840000000001</v>
      </c>
      <c r="M16" s="7">
        <v>847.10910000000001</v>
      </c>
      <c r="N16" s="7">
        <v>829.68240000000003</v>
      </c>
      <c r="O16" s="7">
        <v>23324.18</v>
      </c>
      <c r="P16" s="7">
        <f ca="1">SUM(OFFSET($A$1,15,1,1,14))</f>
        <v>25142.0869613</v>
      </c>
      <c r="Q16" s="7">
        <f ca="1">SUM(OFFSET($A$1,15,1,1,12))</f>
        <v>988.2245613</v>
      </c>
    </row>
    <row r="17" spans="1:17" x14ac:dyDescent="0.2">
      <c r="A17" s="7" t="s">
        <v>43</v>
      </c>
      <c r="B17" s="7">
        <f ca="1">SUM(OFFSET($A$1,2,1,14,1))</f>
        <v>4494.7027226</v>
      </c>
      <c r="C17" s="7">
        <f ca="1">SUM(OFFSET($A$1,2,2,14,1))</f>
        <v>13158.424326300001</v>
      </c>
      <c r="D17" s="7">
        <f ca="1">SUM(OFFSET($A$1,2,3,14,1))</f>
        <v>5326.4657109000009</v>
      </c>
      <c r="E17" s="7">
        <f ca="1">SUM(OFFSET($A$1,2,4,14,1))</f>
        <v>37547.896488700004</v>
      </c>
      <c r="F17" s="7">
        <f ca="1">SUM(OFFSET($A$1,2,5,14,1))</f>
        <v>23525.338443000001</v>
      </c>
      <c r="G17" s="7">
        <f ca="1">SUM(OFFSET($A$1,2,6,14,1))</f>
        <v>16569.778905999996</v>
      </c>
      <c r="H17" s="7">
        <f ca="1">SUM(OFFSET($A$1,2,7,14,1))</f>
        <v>14803.15552</v>
      </c>
      <c r="I17" s="7">
        <f ca="1">SUM(OFFSET($A$1,2,8,14,1))</f>
        <v>4886.6610283999989</v>
      </c>
      <c r="J17" s="7">
        <f ca="1">SUM(OFFSET($A$1,2,9,14,1))</f>
        <v>33423.153596999997</v>
      </c>
      <c r="K17" s="7">
        <f ca="1">SUM(OFFSET($A$1,2,10,14,1))</f>
        <v>9158.6621065999971</v>
      </c>
      <c r="L17" s="7">
        <f ca="1">SUM(OFFSET($A$1,2,11,14,1))</f>
        <v>9643.0537667000008</v>
      </c>
      <c r="M17" s="7">
        <f ca="1">SUM(OFFSET($A$1,2,12,14,1))</f>
        <v>14967.436151999998</v>
      </c>
      <c r="N17" s="7">
        <f ca="1">SUM(OFFSET($A$1,2,13,14,1))</f>
        <v>5757.5300476999992</v>
      </c>
      <c r="O17" s="7">
        <f ca="1">SUM(OFFSET($A$1,2,14,14,1))</f>
        <v>25142.534114300001</v>
      </c>
      <c r="P17" s="7">
        <f ca="1">SUM(OFFSET($A$1,16,1,1,14))</f>
        <v>218404.79293020006</v>
      </c>
      <c r="Q17" s="7">
        <f ca="1">SUM(OFFSET($A$1,16,1,1,12))</f>
        <v>187504.72876820003</v>
      </c>
    </row>
    <row r="18" spans="1:17" x14ac:dyDescent="0.2">
      <c r="O18" s="12" t="s">
        <v>59</v>
      </c>
      <c r="P18" s="7">
        <f ca="1">SUM(OFFSET($B$3,0,0,12,12))</f>
        <v>186255.51677010008</v>
      </c>
    </row>
    <row r="19" spans="1:17" x14ac:dyDescent="0.2">
      <c r="A19" s="7" t="s">
        <v>89</v>
      </c>
    </row>
    <row r="20" spans="1:17" x14ac:dyDescent="0.2">
      <c r="B20" s="7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 t="s">
        <v>43</v>
      </c>
      <c r="Q20" s="7" t="s">
        <v>61</v>
      </c>
    </row>
    <row r="21" spans="1:17" x14ac:dyDescent="0.2">
      <c r="A21" s="7">
        <v>1</v>
      </c>
      <c r="B21" s="7">
        <v>1597.6880000000001</v>
      </c>
      <c r="C21" s="7">
        <v>835.3424</v>
      </c>
      <c r="D21" s="7">
        <v>194.45500000000001</v>
      </c>
      <c r="E21" s="7">
        <v>262.95170000000002</v>
      </c>
      <c r="F21" s="7">
        <v>52.865749999999998</v>
      </c>
      <c r="G21" s="7">
        <v>6.9109749999999996</v>
      </c>
      <c r="H21" s="7">
        <v>12.454269999999999</v>
      </c>
      <c r="I21" s="7">
        <v>0.50717760000000001</v>
      </c>
      <c r="J21" s="7">
        <v>2.492254</v>
      </c>
      <c r="K21" s="7">
        <v>0.2310363</v>
      </c>
      <c r="L21" s="7">
        <v>0.52419110000000002</v>
      </c>
      <c r="M21" s="7">
        <v>0.27973759999999998</v>
      </c>
      <c r="N21" s="7">
        <v>5.7704000000000002E-3</v>
      </c>
      <c r="O21" s="7">
        <v>7.0200999999999996E-3</v>
      </c>
      <c r="P21" s="7">
        <f ca="1">SUM(OFFSET($A$19,2,1,1,14))</f>
        <v>2966.7152820999995</v>
      </c>
      <c r="Q21" s="7">
        <f ca="1">SUM(OFFSET($A$19,2,1,1,12))</f>
        <v>2966.7024915999996</v>
      </c>
    </row>
    <row r="22" spans="1:17" x14ac:dyDescent="0.2">
      <c r="A22" s="7">
        <v>2</v>
      </c>
      <c r="B22" s="7">
        <v>836.66269999999997</v>
      </c>
      <c r="C22" s="7">
        <v>6192.4960000000001</v>
      </c>
      <c r="D22" s="7">
        <v>226.3099</v>
      </c>
      <c r="E22" s="7">
        <v>825.43640000000005</v>
      </c>
      <c r="F22" s="7">
        <v>266.8415</v>
      </c>
      <c r="G22" s="7">
        <v>80.499719999999996</v>
      </c>
      <c r="H22" s="7">
        <v>37.104289999999999</v>
      </c>
      <c r="I22" s="7">
        <v>2.128714</v>
      </c>
      <c r="J22" s="7">
        <v>69.876530000000002</v>
      </c>
      <c r="K22" s="7">
        <v>1.2398020000000001</v>
      </c>
      <c r="L22" s="7">
        <v>14.843389999999999</v>
      </c>
      <c r="M22" s="7">
        <v>7.9767440000000001</v>
      </c>
      <c r="N22" s="7">
        <v>7.3995199999999997E-2</v>
      </c>
      <c r="O22" s="7">
        <v>9.08302E-2</v>
      </c>
      <c r="P22" s="7">
        <f ca="1">SUM(OFFSET($A$19,3,1,1,14))</f>
        <v>8561.5805154000009</v>
      </c>
      <c r="Q22" s="7">
        <f ca="1">SUM(OFFSET($A$19,3,1,1,12))</f>
        <v>8561.4156899999998</v>
      </c>
    </row>
    <row r="23" spans="1:17" x14ac:dyDescent="0.2">
      <c r="A23" s="7">
        <v>3</v>
      </c>
      <c r="B23" s="7">
        <v>233.63839999999999</v>
      </c>
      <c r="C23" s="7">
        <v>283.66090000000003</v>
      </c>
      <c r="D23" s="7">
        <v>930.31050000000005</v>
      </c>
      <c r="E23" s="7">
        <v>2844.893</v>
      </c>
      <c r="F23" s="7">
        <v>270.55329999999998</v>
      </c>
      <c r="G23" s="7">
        <v>94.940060000000003</v>
      </c>
      <c r="H23" s="7">
        <v>215.2509</v>
      </c>
      <c r="I23" s="7">
        <v>24.08578</v>
      </c>
      <c r="J23" s="7">
        <v>121.0629</v>
      </c>
      <c r="K23" s="7">
        <v>14.86858</v>
      </c>
      <c r="L23" s="7">
        <v>16.181039999999999</v>
      </c>
      <c r="M23" s="7">
        <v>9.0621539999999996</v>
      </c>
      <c r="N23" s="7">
        <v>0.1578116</v>
      </c>
      <c r="O23" s="7">
        <v>0.25707010000000002</v>
      </c>
      <c r="P23" s="7">
        <f ca="1">SUM(OFFSET($A$19,4,1,1,14))</f>
        <v>5058.9223957000013</v>
      </c>
      <c r="Q23" s="7">
        <f ca="1">SUM(OFFSET($A$19,4,1,1,12))</f>
        <v>5058.5075140000008</v>
      </c>
    </row>
    <row r="24" spans="1:17" x14ac:dyDescent="0.2">
      <c r="A24" s="7">
        <v>4</v>
      </c>
      <c r="B24" s="7">
        <v>249.96010000000001</v>
      </c>
      <c r="C24" s="7">
        <v>801.33910000000003</v>
      </c>
      <c r="D24" s="7">
        <v>2280.61</v>
      </c>
      <c r="E24" s="7">
        <v>18804.75</v>
      </c>
      <c r="F24" s="7">
        <v>2548.299</v>
      </c>
      <c r="G24" s="7">
        <v>308.4547</v>
      </c>
      <c r="H24" s="7">
        <v>1522.3409999999999</v>
      </c>
      <c r="I24" s="7">
        <v>321.69709999999998</v>
      </c>
      <c r="J24" s="7">
        <v>570.23209999999995</v>
      </c>
      <c r="K24" s="7">
        <v>76.265799999999999</v>
      </c>
      <c r="L24" s="7">
        <v>62.944130000000001</v>
      </c>
      <c r="M24" s="7">
        <v>75.134559999999993</v>
      </c>
      <c r="N24" s="7">
        <v>1.449211</v>
      </c>
      <c r="O24" s="7">
        <v>1.1804809999999999</v>
      </c>
      <c r="P24" s="7">
        <f ca="1">SUM(OFFSET($A$19,5,1,1,14))</f>
        <v>27624.657282</v>
      </c>
      <c r="Q24" s="7">
        <f ca="1">SUM(OFFSET($A$19,5,1,1,12))</f>
        <v>27622.027590000002</v>
      </c>
    </row>
    <row r="25" spans="1:17" x14ac:dyDescent="0.2">
      <c r="A25" s="7">
        <v>5</v>
      </c>
      <c r="B25" s="7">
        <v>52.038359999999997</v>
      </c>
      <c r="C25" s="7">
        <v>263.10180000000003</v>
      </c>
      <c r="D25" s="7">
        <v>213.1053</v>
      </c>
      <c r="E25" s="7">
        <v>2608.491</v>
      </c>
      <c r="F25" s="7">
        <v>10101.82</v>
      </c>
      <c r="G25" s="7">
        <v>1456.4179999999999</v>
      </c>
      <c r="H25" s="7">
        <v>325.55160000000001</v>
      </c>
      <c r="I25" s="7">
        <v>28.859960000000001</v>
      </c>
      <c r="J25" s="7">
        <v>630.52049999999997</v>
      </c>
      <c r="K25" s="7">
        <v>42.906529999999997</v>
      </c>
      <c r="L25" s="7">
        <v>160.1395</v>
      </c>
      <c r="M25" s="7">
        <v>138.9034</v>
      </c>
      <c r="N25" s="7">
        <v>2.811817</v>
      </c>
      <c r="O25" s="7">
        <v>3.5127069999999998</v>
      </c>
      <c r="P25" s="7">
        <f ca="1">SUM(OFFSET($A$19,6,1,1,14))</f>
        <v>16028.180473999999</v>
      </c>
      <c r="Q25" s="7">
        <f ca="1">SUM(OFFSET($A$19,6,1,1,12))</f>
        <v>16021.855949999999</v>
      </c>
    </row>
    <row r="26" spans="1:17" x14ac:dyDescent="0.2">
      <c r="A26" s="7">
        <v>6</v>
      </c>
      <c r="B26" s="7">
        <v>6.8612029999999997</v>
      </c>
      <c r="C26" s="7">
        <v>79.820409999999995</v>
      </c>
      <c r="D26" s="7">
        <v>74.310400000000001</v>
      </c>
      <c r="E26" s="7">
        <v>320.40719999999999</v>
      </c>
      <c r="F26" s="7">
        <v>1468.559</v>
      </c>
      <c r="G26" s="7">
        <v>7819.9260000000004</v>
      </c>
      <c r="H26" s="7">
        <v>46.8446</v>
      </c>
      <c r="I26" s="7">
        <v>7.5333050000000004</v>
      </c>
      <c r="J26" s="7">
        <v>499.27050000000003</v>
      </c>
      <c r="K26" s="7">
        <v>27.73387</v>
      </c>
      <c r="L26" s="7">
        <v>513.25900000000001</v>
      </c>
      <c r="M26" s="7">
        <v>87.686049999999994</v>
      </c>
      <c r="N26" s="7">
        <v>18.509080000000001</v>
      </c>
      <c r="O26" s="7">
        <v>4.6543219999999996</v>
      </c>
      <c r="P26" s="7">
        <f ca="1">SUM(OFFSET($A$19,7,1,1,14))</f>
        <v>10975.374940000003</v>
      </c>
      <c r="Q26" s="7">
        <f ca="1">SUM(OFFSET($A$19,7,1,1,12))</f>
        <v>10952.211538000003</v>
      </c>
    </row>
    <row r="27" spans="1:17" x14ac:dyDescent="0.2">
      <c r="A27" s="7">
        <v>7</v>
      </c>
      <c r="B27" s="7">
        <v>12.461259999999999</v>
      </c>
      <c r="C27" s="7">
        <v>37.234409999999997</v>
      </c>
      <c r="D27" s="7">
        <v>173.5934</v>
      </c>
      <c r="E27" s="7">
        <v>1588.441</v>
      </c>
      <c r="F27" s="7">
        <v>331.25420000000003</v>
      </c>
      <c r="G27" s="7">
        <v>47.35416</v>
      </c>
      <c r="H27" s="7">
        <v>6963.7309999999998</v>
      </c>
      <c r="I27" s="7">
        <v>365.11380000000003</v>
      </c>
      <c r="J27" s="7">
        <v>433.05919999999998</v>
      </c>
      <c r="K27" s="7">
        <v>110.5761</v>
      </c>
      <c r="L27" s="7">
        <v>2.9282650000000001</v>
      </c>
      <c r="M27" s="7">
        <v>29.428550000000001</v>
      </c>
      <c r="N27" s="7">
        <v>7.4686100000000005E-2</v>
      </c>
      <c r="O27" s="7">
        <v>0.1955191</v>
      </c>
      <c r="P27" s="7">
        <f ca="1">SUM(OFFSET($A$19,8,1,1,14))</f>
        <v>10095.4455502</v>
      </c>
      <c r="Q27" s="7">
        <f ca="1">SUM(OFFSET($A$19,8,1,1,12))</f>
        <v>10095.175345</v>
      </c>
    </row>
    <row r="28" spans="1:17" x14ac:dyDescent="0.2">
      <c r="A28" s="7">
        <v>8</v>
      </c>
      <c r="B28" s="7">
        <v>0.50787599999999999</v>
      </c>
      <c r="C28" s="7">
        <v>2.135046</v>
      </c>
      <c r="D28" s="7">
        <v>19.744879999999998</v>
      </c>
      <c r="E28" s="7">
        <v>330.15820000000002</v>
      </c>
      <c r="F28" s="7">
        <v>29.103750000000002</v>
      </c>
      <c r="G28" s="7">
        <v>7.5660170000000004</v>
      </c>
      <c r="H28" s="7">
        <v>371.57080000000002</v>
      </c>
      <c r="I28" s="7">
        <v>2073.4169999999999</v>
      </c>
      <c r="J28" s="7">
        <v>409.10570000000001</v>
      </c>
      <c r="K28" s="7">
        <v>65.667420000000007</v>
      </c>
      <c r="L28" s="7">
        <v>0.34373910000000002</v>
      </c>
      <c r="M28" s="7">
        <v>14.562720000000001</v>
      </c>
      <c r="N28" s="7">
        <v>7.7609999999999997E-3</v>
      </c>
      <c r="O28" s="7">
        <v>6.9706799999999999E-2</v>
      </c>
      <c r="P28" s="7">
        <f ca="1">SUM(OFFSET($A$19,9,1,1,14))</f>
        <v>3323.9606159000004</v>
      </c>
      <c r="Q28" s="7">
        <f ca="1">SUM(OFFSET($A$19,9,1,1,12))</f>
        <v>3323.8831481000007</v>
      </c>
    </row>
    <row r="29" spans="1:17" x14ac:dyDescent="0.2">
      <c r="A29" s="7">
        <v>9</v>
      </c>
      <c r="B29" s="7">
        <v>2.448817</v>
      </c>
      <c r="C29" s="7">
        <v>68.993589999999998</v>
      </c>
      <c r="D29" s="7">
        <v>92.972480000000004</v>
      </c>
      <c r="E29" s="7">
        <v>581.87189999999998</v>
      </c>
      <c r="F29" s="7">
        <v>631.26880000000006</v>
      </c>
      <c r="G29" s="7">
        <v>491.92340000000002</v>
      </c>
      <c r="H29" s="7">
        <v>424.2878</v>
      </c>
      <c r="I29" s="7">
        <v>406.81790000000001</v>
      </c>
      <c r="J29" s="7">
        <v>16750.73</v>
      </c>
      <c r="K29" s="7">
        <v>972.94439999999997</v>
      </c>
      <c r="L29" s="7">
        <v>131.89879999999999</v>
      </c>
      <c r="M29" s="7">
        <v>1553.58</v>
      </c>
      <c r="N29" s="7">
        <v>1.9539359999999999</v>
      </c>
      <c r="O29" s="7">
        <v>85.771420000000006</v>
      </c>
      <c r="P29" s="7">
        <f ca="1">SUM(OFFSET($A$19,10,1,1,14))</f>
        <v>22197.463242999998</v>
      </c>
      <c r="Q29" s="7">
        <f ca="1">SUM(OFFSET($A$19,10,1,1,12))</f>
        <v>22109.737886999996</v>
      </c>
    </row>
    <row r="30" spans="1:17" x14ac:dyDescent="0.2">
      <c r="A30" s="7">
        <v>10</v>
      </c>
      <c r="B30" s="7">
        <v>0.22739619999999999</v>
      </c>
      <c r="C30" s="7">
        <v>1.2253419999999999</v>
      </c>
      <c r="D30" s="7">
        <v>11.859920000000001</v>
      </c>
      <c r="E30" s="7">
        <v>78.140429999999995</v>
      </c>
      <c r="F30" s="7">
        <v>42.637979999999999</v>
      </c>
      <c r="G30" s="7">
        <v>27.395530000000001</v>
      </c>
      <c r="H30" s="7">
        <v>109.7925</v>
      </c>
      <c r="I30" s="7">
        <v>65.614720000000005</v>
      </c>
      <c r="J30" s="7">
        <v>970.09010000000001</v>
      </c>
      <c r="K30" s="7">
        <v>4267.9620000000004</v>
      </c>
      <c r="L30" s="7">
        <v>3.2198660000000001</v>
      </c>
      <c r="M30" s="7">
        <v>393.76760000000002</v>
      </c>
      <c r="N30" s="7">
        <v>8.8382199999999994E-2</v>
      </c>
      <c r="O30" s="7">
        <v>6.3602150000000002</v>
      </c>
      <c r="P30" s="7">
        <f ca="1">SUM(OFFSET($A$19,11,1,1,14))</f>
        <v>5978.3819814000008</v>
      </c>
      <c r="Q30" s="7">
        <f ca="1">SUM(OFFSET($A$19,11,1,1,12))</f>
        <v>5971.9333842000015</v>
      </c>
    </row>
    <row r="31" spans="1:17" x14ac:dyDescent="0.2">
      <c r="A31" s="7">
        <v>11</v>
      </c>
      <c r="B31" s="7">
        <v>0.52418489999999995</v>
      </c>
      <c r="C31" s="7">
        <v>14.821260000000001</v>
      </c>
      <c r="D31" s="7">
        <v>14.26352</v>
      </c>
      <c r="E31" s="7">
        <v>64.313450000000003</v>
      </c>
      <c r="F31" s="7">
        <v>161.21639999999999</v>
      </c>
      <c r="G31" s="7">
        <v>502.86410000000001</v>
      </c>
      <c r="H31" s="7">
        <v>2.9236770000000001</v>
      </c>
      <c r="I31" s="7">
        <v>0.34728059999999999</v>
      </c>
      <c r="J31" s="7">
        <v>132.5804</v>
      </c>
      <c r="K31" s="7">
        <v>3.2168399999999999</v>
      </c>
      <c r="L31" s="7">
        <v>5238.2929999999997</v>
      </c>
      <c r="M31" s="7">
        <v>68.791690000000003</v>
      </c>
      <c r="N31" s="7">
        <v>166.5949</v>
      </c>
      <c r="O31" s="7">
        <v>42.728679999999997</v>
      </c>
      <c r="P31" s="7">
        <f ca="1">SUM(OFFSET($A$19,12,1,1,14))</f>
        <v>6413.4793824999997</v>
      </c>
      <c r="Q31" s="7">
        <f ca="1">SUM(OFFSET($A$19,12,1,1,12))</f>
        <v>6204.1558024999995</v>
      </c>
    </row>
    <row r="32" spans="1:17" x14ac:dyDescent="0.2">
      <c r="A32" s="7">
        <v>12</v>
      </c>
      <c r="B32" s="7">
        <v>0.28114889999999998</v>
      </c>
      <c r="C32" s="7">
        <v>7.983746</v>
      </c>
      <c r="D32" s="7">
        <v>8.1759540000000008</v>
      </c>
      <c r="E32" s="7">
        <v>76.874499999999998</v>
      </c>
      <c r="F32" s="7">
        <v>140.33449999999999</v>
      </c>
      <c r="G32" s="7">
        <v>86.505399999999995</v>
      </c>
      <c r="H32" s="7">
        <v>29.44294</v>
      </c>
      <c r="I32" s="7">
        <v>14.62185</v>
      </c>
      <c r="J32" s="7">
        <v>1552.617</v>
      </c>
      <c r="K32" s="7">
        <v>394.5763</v>
      </c>
      <c r="L32" s="7">
        <v>68.062269999999998</v>
      </c>
      <c r="M32" s="7">
        <v>6938.15</v>
      </c>
      <c r="N32" s="7">
        <v>29.24588</v>
      </c>
      <c r="O32" s="7">
        <v>655.53369999999995</v>
      </c>
      <c r="P32" s="7">
        <f ca="1">SUM(OFFSET($A$19,13,1,1,14))</f>
        <v>10002.4051889</v>
      </c>
      <c r="Q32" s="7">
        <f ca="1">SUM(OFFSET($A$19,13,1,1,12))</f>
        <v>9317.6256088999999</v>
      </c>
    </row>
    <row r="33" spans="1:17" x14ac:dyDescent="0.2">
      <c r="A33" s="7">
        <v>13</v>
      </c>
      <c r="B33" s="7">
        <v>5.6864999999999997E-3</v>
      </c>
      <c r="C33" s="7">
        <v>7.2833200000000001E-2</v>
      </c>
      <c r="D33" s="7">
        <v>0.1466673</v>
      </c>
      <c r="E33" s="7">
        <v>1.4251750000000001</v>
      </c>
      <c r="F33" s="7">
        <v>2.7637779999999998</v>
      </c>
      <c r="G33" s="7">
        <v>18.125</v>
      </c>
      <c r="H33" s="7">
        <v>7.3627200000000004E-2</v>
      </c>
      <c r="I33" s="7">
        <v>7.6089E-3</v>
      </c>
      <c r="J33" s="7">
        <v>1.904164</v>
      </c>
      <c r="K33" s="7">
        <v>8.8246000000000005E-2</v>
      </c>
      <c r="L33" s="7">
        <v>164.23099999999999</v>
      </c>
      <c r="M33" s="7">
        <v>28.88815</v>
      </c>
      <c r="N33" s="7">
        <v>3148.9250000000002</v>
      </c>
      <c r="O33" s="7">
        <v>655.87109999999996</v>
      </c>
      <c r="P33" s="7">
        <f ca="1">SUM(OFFSET($A$19,14,1,1,14))</f>
        <v>4022.5280361</v>
      </c>
      <c r="Q33" s="7">
        <f ca="1">SUM(OFFSET($A$19,14,1,1,12))</f>
        <v>217.73193609999998</v>
      </c>
    </row>
    <row r="34" spans="1:17" x14ac:dyDescent="0.2">
      <c r="A34" s="7">
        <v>14</v>
      </c>
      <c r="B34" s="7">
        <v>7.0057000000000001E-3</v>
      </c>
      <c r="C34" s="7">
        <v>9.0214100000000005E-2</v>
      </c>
      <c r="D34" s="7">
        <v>0.22888910000000001</v>
      </c>
      <c r="E34" s="7">
        <v>1.165457</v>
      </c>
      <c r="F34" s="7">
        <v>3.5484909999999998</v>
      </c>
      <c r="G34" s="7">
        <v>4.4751269999999996</v>
      </c>
      <c r="H34" s="7">
        <v>0.19441549999999999</v>
      </c>
      <c r="I34" s="7">
        <v>6.9776500000000005E-2</v>
      </c>
      <c r="J34" s="7">
        <v>85.795289999999994</v>
      </c>
      <c r="K34" s="7">
        <v>6.364128</v>
      </c>
      <c r="L34" s="7">
        <v>41.704039999999999</v>
      </c>
      <c r="M34" s="7">
        <v>654.53480000000002</v>
      </c>
      <c r="N34" s="7">
        <v>657.00660000000005</v>
      </c>
      <c r="O34" s="7">
        <v>15674.97</v>
      </c>
      <c r="P34" s="7">
        <f ca="1">SUM(OFFSET($A$19,15,1,1,14))</f>
        <v>17130.154233900001</v>
      </c>
      <c r="Q34" s="7">
        <f ca="1">SUM(OFFSET($A$19,15,1,1,12))</f>
        <v>798.17763390000005</v>
      </c>
    </row>
    <row r="35" spans="1:17" x14ac:dyDescent="0.2">
      <c r="A35" s="7" t="s">
        <v>43</v>
      </c>
      <c r="B35" s="7">
        <f ca="1">SUM(OFFSET($A$19,2,1,14,1))</f>
        <v>2993.3121381999999</v>
      </c>
      <c r="C35" s="7">
        <f ca="1">SUM(OFFSET($A$19,2,2,14,1))</f>
        <v>8588.3170513000005</v>
      </c>
      <c r="D35" s="7">
        <f ca="1">SUM(OFFSET($A$19,2,3,14,1))</f>
        <v>4240.0868104000019</v>
      </c>
      <c r="E35" s="7">
        <f ca="1">SUM(OFFSET($A$19,2,4,14,1))</f>
        <v>28389.319412000004</v>
      </c>
      <c r="F35" s="7">
        <f ca="1">SUM(OFFSET($A$19,2,5,14,1))</f>
        <v>16051.066448999998</v>
      </c>
      <c r="G35" s="7">
        <f ca="1">SUM(OFFSET($A$19,2,6,14,1))</f>
        <v>10953.358189</v>
      </c>
      <c r="H35" s="7">
        <f ca="1">SUM(OFFSET($A$19,2,7,14,1))</f>
        <v>10061.5634197</v>
      </c>
      <c r="I35" s="7">
        <f ca="1">SUM(OFFSET($A$19,2,8,14,1))</f>
        <v>3310.8219725999998</v>
      </c>
      <c r="J35" s="7">
        <f ca="1">SUM(OFFSET($A$19,2,9,14,1))</f>
        <v>22229.336637999997</v>
      </c>
      <c r="K35" s="7">
        <f ca="1">SUM(OFFSET($A$19,2,10,14,1))</f>
        <v>5984.6410523000004</v>
      </c>
      <c r="L35" s="7">
        <f ca="1">SUM(OFFSET($A$19,2,11,14,1))</f>
        <v>6418.5722311999998</v>
      </c>
      <c r="M35" s="7">
        <f ca="1">SUM(OFFSET($A$19,2,12,14,1))</f>
        <v>10000.7461556</v>
      </c>
      <c r="N35" s="7">
        <f ca="1">SUM(OFFSET($A$19,2,13,14,1))</f>
        <v>4026.9048305000001</v>
      </c>
      <c r="O35" s="7">
        <f ca="1">SUM(OFFSET($A$19,2,14,14,1))</f>
        <v>17131.202771299999</v>
      </c>
      <c r="P35" s="7">
        <f ca="1">SUM(OFFSET($A$19,16,1,1,14))</f>
        <v>150379.2491211</v>
      </c>
      <c r="Q35" s="7">
        <f ca="1">SUM(OFFSET($A$19,16,1,1,12))</f>
        <v>129221.1415193</v>
      </c>
    </row>
    <row r="36" spans="1:17" x14ac:dyDescent="0.2">
      <c r="O36" s="12" t="s">
        <v>59</v>
      </c>
      <c r="P36" s="7">
        <f ca="1">SUM(OFFSET($B$21,0,0,12,12))</f>
        <v>128205.23194930001</v>
      </c>
    </row>
    <row r="37" spans="1:17" x14ac:dyDescent="0.2">
      <c r="A37" s="7" t="s">
        <v>91</v>
      </c>
    </row>
    <row r="38" spans="1:17" x14ac:dyDescent="0.2"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7">
        <v>10</v>
      </c>
      <c r="L38" s="7">
        <v>11</v>
      </c>
      <c r="M38" s="7">
        <v>12</v>
      </c>
      <c r="N38" s="7">
        <v>13</v>
      </c>
      <c r="O38" s="7">
        <v>14</v>
      </c>
      <c r="P38" s="7" t="s">
        <v>43</v>
      </c>
      <c r="Q38" s="7" t="s">
        <v>61</v>
      </c>
    </row>
    <row r="39" spans="1:17" x14ac:dyDescent="0.2">
      <c r="A39" s="7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f ca="1">SUM(OFFSET($A$37,2,1,1,14))</f>
        <v>0</v>
      </c>
      <c r="Q39" s="7">
        <f ca="1">SUM(OFFSET($A$37,2,1,1,12))</f>
        <v>0</v>
      </c>
    </row>
    <row r="40" spans="1:17" x14ac:dyDescent="0.2">
      <c r="A40" s="7">
        <v>2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f ca="1">SUM(OFFSET($A$37,3,1,1,14))</f>
        <v>0</v>
      </c>
      <c r="Q40" s="7">
        <f ca="1">SUM(OFFSET($A$37,3,1,1,12))</f>
        <v>0</v>
      </c>
    </row>
    <row r="41" spans="1:17" x14ac:dyDescent="0.2">
      <c r="A41" s="7">
        <v>3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f ca="1">SUM(OFFSET($A$37,4,1,1,14))</f>
        <v>0</v>
      </c>
      <c r="Q41" s="7">
        <f ca="1">SUM(OFFSET($A$37,4,1,1,12))</f>
        <v>0</v>
      </c>
    </row>
    <row r="42" spans="1:17" x14ac:dyDescent="0.2">
      <c r="A42" s="7">
        <v>4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f ca="1">SUM(OFFSET($A$37,5,1,1,14))</f>
        <v>0</v>
      </c>
      <c r="Q42" s="7">
        <f ca="1">SUM(OFFSET($A$37,5,1,1,12))</f>
        <v>0</v>
      </c>
    </row>
    <row r="43" spans="1:17" x14ac:dyDescent="0.2">
      <c r="A43" s="7">
        <v>5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f ca="1">SUM(OFFSET($A$37,6,1,1,14))</f>
        <v>0</v>
      </c>
      <c r="Q43" s="7">
        <f ca="1">SUM(OFFSET($A$37,6,1,1,12))</f>
        <v>0</v>
      </c>
    </row>
    <row r="44" spans="1:17" x14ac:dyDescent="0.2">
      <c r="A44" s="7">
        <v>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f ca="1">SUM(OFFSET($A$37,7,1,1,14))</f>
        <v>0</v>
      </c>
      <c r="Q44" s="7">
        <f ca="1">SUM(OFFSET($A$37,7,1,1,12))</f>
        <v>0</v>
      </c>
    </row>
    <row r="45" spans="1:17" x14ac:dyDescent="0.2">
      <c r="A45" s="7">
        <v>7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f ca="1">SUM(OFFSET($A$37,8,1,1,14))</f>
        <v>0</v>
      </c>
      <c r="Q45" s="7">
        <f ca="1">SUM(OFFSET($A$37,8,1,1,12))</f>
        <v>0</v>
      </c>
    </row>
    <row r="46" spans="1:17" x14ac:dyDescent="0.2">
      <c r="A46" s="7">
        <v>8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f ca="1">SUM(OFFSET($A$37,9,1,1,14))</f>
        <v>0</v>
      </c>
      <c r="Q46" s="7">
        <f ca="1">SUM(OFFSET($A$37,9,1,1,12))</f>
        <v>0</v>
      </c>
    </row>
    <row r="47" spans="1:17" x14ac:dyDescent="0.2">
      <c r="A47" s="7">
        <v>9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f ca="1">SUM(OFFSET($A$37,10,1,1,14))</f>
        <v>0</v>
      </c>
      <c r="Q47" s="7">
        <f ca="1">SUM(OFFSET($A$37,10,1,1,12))</f>
        <v>0</v>
      </c>
    </row>
    <row r="48" spans="1:17" x14ac:dyDescent="0.2">
      <c r="A48" s="7">
        <v>10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f ca="1">SUM(OFFSET($A$37,11,1,1,14))</f>
        <v>0</v>
      </c>
      <c r="Q48" s="7">
        <f ca="1">SUM(OFFSET($A$37,11,1,1,12))</f>
        <v>0</v>
      </c>
    </row>
    <row r="49" spans="1:17" x14ac:dyDescent="0.2">
      <c r="A49" s="7">
        <v>11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f ca="1">SUM(OFFSET($A$37,12,1,1,14))</f>
        <v>0</v>
      </c>
      <c r="Q49" s="7">
        <f ca="1">SUM(OFFSET($A$37,12,1,1,12))</f>
        <v>0</v>
      </c>
    </row>
    <row r="50" spans="1:17" x14ac:dyDescent="0.2">
      <c r="A50" s="7">
        <v>12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f ca="1">SUM(OFFSET($A$37,13,1,1,14))</f>
        <v>0</v>
      </c>
      <c r="Q50" s="7">
        <f ca="1">SUM(OFFSET($A$37,13,1,1,12))</f>
        <v>0</v>
      </c>
    </row>
    <row r="51" spans="1:17" x14ac:dyDescent="0.2">
      <c r="A51" s="7">
        <v>13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f ca="1">SUM(OFFSET($A$37,14,1,1,14))</f>
        <v>0</v>
      </c>
      <c r="Q51" s="7">
        <f ca="1">SUM(OFFSET($A$37,14,1,1,12))</f>
        <v>0</v>
      </c>
    </row>
    <row r="52" spans="1:17" x14ac:dyDescent="0.2">
      <c r="A52" s="7">
        <v>14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f ca="1">SUM(OFFSET($A$37,15,1,1,14))</f>
        <v>0</v>
      </c>
      <c r="Q52" s="7">
        <f ca="1">SUM(OFFSET($A$37,15,1,1,12))</f>
        <v>0</v>
      </c>
    </row>
    <row r="53" spans="1:17" x14ac:dyDescent="0.2">
      <c r="A53" s="7" t="s">
        <v>43</v>
      </c>
      <c r="B53" s="7">
        <f ca="1">SUM(OFFSET($A$37,2,1,14,1))</f>
        <v>0</v>
      </c>
      <c r="C53" s="7">
        <f ca="1">SUM(OFFSET($A$37,2,2,14,1))</f>
        <v>0</v>
      </c>
      <c r="D53" s="7">
        <f ca="1">SUM(OFFSET($A$37,2,3,14,1))</f>
        <v>0</v>
      </c>
      <c r="E53" s="7">
        <f ca="1">SUM(OFFSET($A$37,2,4,14,1))</f>
        <v>0</v>
      </c>
      <c r="F53" s="7">
        <f ca="1">SUM(OFFSET($A$37,2,5,14,1))</f>
        <v>0</v>
      </c>
      <c r="G53" s="7">
        <f ca="1">SUM(OFFSET($A$37,2,6,14,1))</f>
        <v>0</v>
      </c>
      <c r="H53" s="7">
        <f ca="1">SUM(OFFSET($A$37,2,7,14,1))</f>
        <v>0</v>
      </c>
      <c r="I53" s="7">
        <f ca="1">SUM(OFFSET($A$37,2,8,14,1))</f>
        <v>0</v>
      </c>
      <c r="J53" s="7">
        <f ca="1">SUM(OFFSET($A$37,2,9,14,1))</f>
        <v>0</v>
      </c>
      <c r="K53" s="7">
        <f ca="1">SUM(OFFSET($A$37,2,10,14,1))</f>
        <v>0</v>
      </c>
      <c r="L53" s="7">
        <f ca="1">SUM(OFFSET($A$37,2,11,14,1))</f>
        <v>0</v>
      </c>
      <c r="M53" s="7">
        <f ca="1">SUM(OFFSET($A$37,2,12,14,1))</f>
        <v>0</v>
      </c>
      <c r="N53" s="7">
        <f ca="1">SUM(OFFSET($A$37,2,13,14,1))</f>
        <v>0</v>
      </c>
      <c r="O53" s="7">
        <f ca="1">SUM(OFFSET($A$37,2,14,14,1))</f>
        <v>0</v>
      </c>
      <c r="P53" s="7">
        <f ca="1">SUM(OFFSET($A$37,16,1,1,14))</f>
        <v>0</v>
      </c>
      <c r="Q53" s="7">
        <f ca="1">SUM(OFFSET($A$37,16,1,1,12))</f>
        <v>0</v>
      </c>
    </row>
    <row r="54" spans="1:17" x14ac:dyDescent="0.2">
      <c r="O54" s="12" t="s">
        <v>59</v>
      </c>
      <c r="P54" s="7">
        <f ca="1">SUM(OFFSET($B$39,0,0,12,12))</f>
        <v>0</v>
      </c>
    </row>
    <row r="55" spans="1:17" x14ac:dyDescent="0.2">
      <c r="A55" s="7" t="s">
        <v>93</v>
      </c>
    </row>
    <row r="56" spans="1:17" x14ac:dyDescent="0.2">
      <c r="B56" s="7">
        <v>1</v>
      </c>
      <c r="C56" s="7">
        <v>2</v>
      </c>
      <c r="D56" s="7">
        <v>3</v>
      </c>
      <c r="E56" s="7">
        <v>4</v>
      </c>
      <c r="F56" s="7">
        <v>5</v>
      </c>
      <c r="G56" s="7">
        <v>6</v>
      </c>
      <c r="H56" s="7">
        <v>7</v>
      </c>
      <c r="I56" s="7">
        <v>8</v>
      </c>
      <c r="J56" s="7">
        <v>9</v>
      </c>
      <c r="K56" s="7">
        <v>10</v>
      </c>
      <c r="L56" s="7">
        <v>11</v>
      </c>
      <c r="M56" s="7">
        <v>12</v>
      </c>
      <c r="N56" s="7">
        <v>13</v>
      </c>
      <c r="O56" s="7">
        <v>14</v>
      </c>
      <c r="P56" s="7" t="s">
        <v>43</v>
      </c>
      <c r="Q56" s="7" t="s">
        <v>61</v>
      </c>
    </row>
    <row r="57" spans="1:17" x14ac:dyDescent="0.2">
      <c r="A57" s="7">
        <v>1</v>
      </c>
      <c r="B57" s="7">
        <v>231.45169999999999</v>
      </c>
      <c r="C57" s="7">
        <v>206.4494</v>
      </c>
      <c r="D57" s="7">
        <v>227.50919999999999</v>
      </c>
      <c r="E57" s="7">
        <v>36.639620000000001</v>
      </c>
      <c r="F57" s="7">
        <v>5.3493019999999998</v>
      </c>
      <c r="G57" s="7">
        <v>0.34631010000000001</v>
      </c>
      <c r="H57" s="7">
        <v>0.49327330000000003</v>
      </c>
      <c r="I57" s="7">
        <v>1.36773E-2</v>
      </c>
      <c r="J57" s="7">
        <v>3.22543E-2</v>
      </c>
      <c r="K57" s="7">
        <v>6.7730999999999998E-3</v>
      </c>
      <c r="L57" s="7">
        <v>2.0565400000000001E-2</v>
      </c>
      <c r="M57" s="7">
        <v>1.895E-4</v>
      </c>
      <c r="N57" s="7">
        <v>0</v>
      </c>
      <c r="O57" s="7">
        <v>0</v>
      </c>
      <c r="P57" s="7">
        <f ca="1">SUM(OFFSET($A$55,2,1,1,14))</f>
        <v>708.31226500000014</v>
      </c>
      <c r="Q57" s="7">
        <f ca="1">SUM(OFFSET($A$55,2,1,1,12))</f>
        <v>708.31226500000014</v>
      </c>
    </row>
    <row r="58" spans="1:17" x14ac:dyDescent="0.2">
      <c r="A58" s="7">
        <v>2</v>
      </c>
      <c r="B58" s="7">
        <v>207.04400000000001</v>
      </c>
      <c r="C58" s="7">
        <v>1475.758</v>
      </c>
      <c r="D58" s="7">
        <v>242.74</v>
      </c>
      <c r="E58" s="7">
        <v>166.1062</v>
      </c>
      <c r="F58" s="7">
        <v>45.105589999999999</v>
      </c>
      <c r="G58" s="7">
        <v>4.917618</v>
      </c>
      <c r="H58" s="7">
        <v>1.6722779999999999</v>
      </c>
      <c r="I58" s="7">
        <v>6.1580700000000002E-2</v>
      </c>
      <c r="J58" s="7">
        <v>0.77483279999999999</v>
      </c>
      <c r="K58" s="7">
        <v>3.6762499999999997E-2</v>
      </c>
      <c r="L58" s="7">
        <v>0.72422810000000004</v>
      </c>
      <c r="M58" s="7">
        <v>1.0813700000000001E-2</v>
      </c>
      <c r="N58" s="7">
        <v>0</v>
      </c>
      <c r="O58" s="7">
        <v>0</v>
      </c>
      <c r="P58" s="7">
        <f ca="1">SUM(OFFSET($A$55,3,1,1,14))</f>
        <v>2144.9519037999999</v>
      </c>
      <c r="Q58" s="7">
        <f ca="1">SUM(OFFSET($A$55,3,1,1,12))</f>
        <v>2144.9519037999999</v>
      </c>
    </row>
    <row r="59" spans="1:17" x14ac:dyDescent="0.2">
      <c r="A59" s="7">
        <v>3</v>
      </c>
      <c r="B59" s="7">
        <v>182.505</v>
      </c>
      <c r="C59" s="7">
        <v>173.34950000000001</v>
      </c>
      <c r="D59" s="7">
        <v>1624.17</v>
      </c>
      <c r="E59" s="7">
        <v>2396.261</v>
      </c>
      <c r="F59" s="7">
        <v>157.08609999999999</v>
      </c>
      <c r="G59" s="7">
        <v>23.06718</v>
      </c>
      <c r="H59" s="7">
        <v>47.364240000000002</v>
      </c>
      <c r="I59" s="7">
        <v>2.704974</v>
      </c>
      <c r="J59" s="7">
        <v>9.1067859999999996</v>
      </c>
      <c r="K59" s="7">
        <v>1.7684150000000001</v>
      </c>
      <c r="L59" s="7">
        <v>2.8683890000000001</v>
      </c>
      <c r="M59" s="7">
        <v>0.2156265</v>
      </c>
      <c r="N59" s="7">
        <v>0</v>
      </c>
      <c r="O59" s="7">
        <v>0</v>
      </c>
      <c r="P59" s="7">
        <f ca="1">SUM(OFFSET($A$55,4,1,1,14))</f>
        <v>4620.4672105000009</v>
      </c>
      <c r="Q59" s="7">
        <f ca="1">SUM(OFFSET($A$55,4,1,1,12))</f>
        <v>4620.4672105000009</v>
      </c>
    </row>
    <row r="60" spans="1:17" x14ac:dyDescent="0.2">
      <c r="A60" s="7">
        <v>4</v>
      </c>
      <c r="B60" s="7">
        <v>33.168120000000002</v>
      </c>
      <c r="C60" s="7">
        <v>134.98310000000001</v>
      </c>
      <c r="D60" s="7">
        <v>2487.1590000000001</v>
      </c>
      <c r="E60" s="7">
        <v>9051.0360000000001</v>
      </c>
      <c r="F60" s="7">
        <v>568.82770000000005</v>
      </c>
      <c r="G60" s="7">
        <v>24.337250000000001</v>
      </c>
      <c r="H60" s="7">
        <v>149.73330000000001</v>
      </c>
      <c r="I60" s="7">
        <v>17.147200000000002</v>
      </c>
      <c r="J60" s="7">
        <v>23.082799999999999</v>
      </c>
      <c r="K60" s="7">
        <v>4.2445909999999998</v>
      </c>
      <c r="L60" s="7">
        <v>3.9972470000000002</v>
      </c>
      <c r="M60" s="7">
        <v>0.99819670000000005</v>
      </c>
      <c r="N60" s="7">
        <v>0</v>
      </c>
      <c r="O60" s="7">
        <v>0</v>
      </c>
      <c r="P60" s="7">
        <f ca="1">SUM(OFFSET($A$55,5,1,1,14))</f>
        <v>12498.714504699999</v>
      </c>
      <c r="Q60" s="7">
        <f ca="1">SUM(OFFSET($A$55,5,1,1,12))</f>
        <v>12498.714504699999</v>
      </c>
    </row>
    <row r="61" spans="1:17" x14ac:dyDescent="0.2">
      <c r="A61" s="7">
        <v>5</v>
      </c>
      <c r="B61" s="7">
        <v>4.1274059999999997</v>
      </c>
      <c r="C61" s="7">
        <v>39.090589999999999</v>
      </c>
      <c r="D61" s="7">
        <v>186.7603</v>
      </c>
      <c r="E61" s="7">
        <v>632.12070000000006</v>
      </c>
      <c r="F61" s="7">
        <v>2270.107</v>
      </c>
      <c r="G61" s="7">
        <v>226.47479999999999</v>
      </c>
      <c r="H61" s="7">
        <v>40.99295</v>
      </c>
      <c r="I61" s="7">
        <v>3.1228310000000001</v>
      </c>
      <c r="J61" s="7">
        <v>29.89292</v>
      </c>
      <c r="K61" s="7">
        <v>1.534918</v>
      </c>
      <c r="L61" s="7">
        <v>14.83802</v>
      </c>
      <c r="M61" s="7">
        <v>2.2844950000000002</v>
      </c>
      <c r="N61" s="7">
        <v>0</v>
      </c>
      <c r="O61" s="7">
        <v>0</v>
      </c>
      <c r="P61" s="7">
        <f ca="1">SUM(OFFSET($A$55,6,1,1,14))</f>
        <v>3451.3469299999997</v>
      </c>
      <c r="Q61" s="7">
        <f ca="1">SUM(OFFSET($A$55,6,1,1,12))</f>
        <v>3451.3469299999997</v>
      </c>
    </row>
    <row r="62" spans="1:17" x14ac:dyDescent="0.2">
      <c r="A62" s="7">
        <v>6</v>
      </c>
      <c r="B62" s="7">
        <v>0.29321340000000001</v>
      </c>
      <c r="C62" s="7">
        <v>3.9210180000000001</v>
      </c>
      <c r="D62" s="7">
        <v>26.171320000000001</v>
      </c>
      <c r="E62" s="7">
        <v>23.77589</v>
      </c>
      <c r="F62" s="7">
        <v>234.19820000000001</v>
      </c>
      <c r="G62" s="7">
        <v>1323.6220000000001</v>
      </c>
      <c r="H62" s="7">
        <v>2.617829</v>
      </c>
      <c r="I62" s="7">
        <v>0.37588080000000001</v>
      </c>
      <c r="J62" s="7">
        <v>13.155419999999999</v>
      </c>
      <c r="K62" s="7">
        <v>0.55971769999999998</v>
      </c>
      <c r="L62" s="7">
        <v>83.127430000000004</v>
      </c>
      <c r="M62" s="7">
        <v>2.8814090000000001</v>
      </c>
      <c r="N62" s="7">
        <v>0</v>
      </c>
      <c r="O62" s="7">
        <v>0</v>
      </c>
      <c r="P62" s="7">
        <f ca="1">SUM(OFFSET($A$55,7,1,1,14))</f>
        <v>1714.6993279000003</v>
      </c>
      <c r="Q62" s="7">
        <f ca="1">SUM(OFFSET($A$55,7,1,1,12))</f>
        <v>1714.6993279000003</v>
      </c>
    </row>
    <row r="63" spans="1:17" x14ac:dyDescent="0.2">
      <c r="A63" s="7">
        <v>7</v>
      </c>
      <c r="B63" s="7">
        <v>0.51790150000000001</v>
      </c>
      <c r="C63" s="7">
        <v>1.6911620000000001</v>
      </c>
      <c r="D63" s="7">
        <v>72.804239999999993</v>
      </c>
      <c r="E63" s="7">
        <v>151.4708</v>
      </c>
      <c r="F63" s="7">
        <v>41.608890000000002</v>
      </c>
      <c r="G63" s="7">
        <v>2.7412649999999998</v>
      </c>
      <c r="H63" s="7">
        <v>1242.8150000000001</v>
      </c>
      <c r="I63" s="7">
        <v>41.054180000000002</v>
      </c>
      <c r="J63" s="7">
        <v>39.36159</v>
      </c>
      <c r="K63" s="7">
        <v>11.52786</v>
      </c>
      <c r="L63" s="7">
        <v>0.1639603</v>
      </c>
      <c r="M63" s="7">
        <v>0.75566580000000005</v>
      </c>
      <c r="N63" s="7">
        <v>0</v>
      </c>
      <c r="O63" s="7">
        <v>0</v>
      </c>
      <c r="P63" s="7">
        <f ca="1">SUM(OFFSET($A$55,8,1,1,14))</f>
        <v>1606.5125146000003</v>
      </c>
      <c r="Q63" s="7">
        <f ca="1">SUM(OFFSET($A$55,8,1,1,12))</f>
        <v>1606.5125146000003</v>
      </c>
    </row>
    <row r="64" spans="1:17" x14ac:dyDescent="0.2">
      <c r="A64" s="7">
        <v>8</v>
      </c>
      <c r="B64" s="7">
        <v>1.7154300000000001E-2</v>
      </c>
      <c r="C64" s="7">
        <v>7.1044200000000002E-2</v>
      </c>
      <c r="D64" s="7">
        <v>4.5523550000000004</v>
      </c>
      <c r="E64" s="7">
        <v>19.703109999999999</v>
      </c>
      <c r="F64" s="7">
        <v>3.5269529999999998</v>
      </c>
      <c r="G64" s="7">
        <v>0.39661980000000002</v>
      </c>
      <c r="H64" s="7">
        <v>50.092260000000003</v>
      </c>
      <c r="I64" s="7">
        <v>253.86179999999999</v>
      </c>
      <c r="J64" s="7">
        <v>58.779980000000002</v>
      </c>
      <c r="K64" s="7">
        <v>8.6529260000000008</v>
      </c>
      <c r="L64" s="7">
        <v>1.9159200000000001E-2</v>
      </c>
      <c r="M64" s="7">
        <v>0.65067580000000003</v>
      </c>
      <c r="N64" s="7">
        <v>0</v>
      </c>
      <c r="O64" s="7">
        <v>2.1800000000000001E-5</v>
      </c>
      <c r="P64" s="7">
        <f ca="1">SUM(OFFSET($A$55,9,1,1,14))</f>
        <v>400.3240591</v>
      </c>
      <c r="Q64" s="7">
        <f ca="1">SUM(OFFSET($A$55,9,1,1,12))</f>
        <v>400.32403729999999</v>
      </c>
    </row>
    <row r="65" spans="1:17" x14ac:dyDescent="0.2">
      <c r="A65" s="7">
        <v>9</v>
      </c>
      <c r="B65" s="7">
        <v>2.5892100000000001E-2</v>
      </c>
      <c r="C65" s="7">
        <v>0.64827000000000001</v>
      </c>
      <c r="D65" s="7">
        <v>13.02904</v>
      </c>
      <c r="E65" s="7">
        <v>22.692830000000001</v>
      </c>
      <c r="F65" s="7">
        <v>30.043330000000001</v>
      </c>
      <c r="G65" s="7">
        <v>11.560230000000001</v>
      </c>
      <c r="H65" s="7">
        <v>30.04852</v>
      </c>
      <c r="I65" s="7">
        <v>51.941319999999997</v>
      </c>
      <c r="J65" s="7">
        <v>2424.9090000000001</v>
      </c>
      <c r="K65" s="7">
        <v>154.80350000000001</v>
      </c>
      <c r="L65" s="7">
        <v>12.565770000000001</v>
      </c>
      <c r="M65" s="7">
        <v>151.42920000000001</v>
      </c>
      <c r="N65" s="7">
        <v>2.1386999999999999E-3</v>
      </c>
      <c r="O65" s="7">
        <v>1.06908</v>
      </c>
      <c r="P65" s="7">
        <f ca="1">SUM(OFFSET($A$55,10,1,1,14))</f>
        <v>2904.7681208000008</v>
      </c>
      <c r="Q65" s="7">
        <f ca="1">SUM(OFFSET($A$55,10,1,1,12))</f>
        <v>2903.6969021000004</v>
      </c>
    </row>
    <row r="66" spans="1:17" x14ac:dyDescent="0.2">
      <c r="A66" s="7">
        <v>10</v>
      </c>
      <c r="B66" s="7">
        <v>8.0014999999999999E-3</v>
      </c>
      <c r="C66" s="7">
        <v>4.13351E-2</v>
      </c>
      <c r="D66" s="7">
        <v>2.8893620000000002</v>
      </c>
      <c r="E66" s="7">
        <v>4.9713649999999996</v>
      </c>
      <c r="F66" s="7">
        <v>1.9136230000000001</v>
      </c>
      <c r="G66" s="7">
        <v>0.57011319999999999</v>
      </c>
      <c r="H66" s="7">
        <v>12.08398</v>
      </c>
      <c r="I66" s="7">
        <v>8.4829790000000003</v>
      </c>
      <c r="J66" s="7">
        <v>158.51410000000001</v>
      </c>
      <c r="K66" s="7">
        <v>613.05439999999999</v>
      </c>
      <c r="L66" s="7">
        <v>0.20235620000000001</v>
      </c>
      <c r="M66" s="7">
        <v>22.638459999999998</v>
      </c>
      <c r="N66" s="7">
        <v>0</v>
      </c>
      <c r="O66" s="7">
        <v>1.12733E-2</v>
      </c>
      <c r="P66" s="7">
        <f ca="1">SUM(OFFSET($A$55,11,1,1,14))</f>
        <v>825.38134830000001</v>
      </c>
      <c r="Q66" s="7">
        <f ca="1">SUM(OFFSET($A$55,11,1,1,12))</f>
        <v>825.37007500000004</v>
      </c>
    </row>
    <row r="67" spans="1:17" x14ac:dyDescent="0.2">
      <c r="A67" s="7">
        <v>11</v>
      </c>
      <c r="B67" s="7">
        <v>2.15202E-2</v>
      </c>
      <c r="C67" s="7">
        <v>0.6959379</v>
      </c>
      <c r="D67" s="7">
        <v>3.7309199999999998</v>
      </c>
      <c r="E67" s="7">
        <v>4.0643760000000002</v>
      </c>
      <c r="F67" s="7">
        <v>17.007249999999999</v>
      </c>
      <c r="G67" s="7">
        <v>63.760260000000002</v>
      </c>
      <c r="H67" s="7">
        <v>0.16573470000000001</v>
      </c>
      <c r="I67" s="7">
        <v>1.8795699999999999E-2</v>
      </c>
      <c r="J67" s="7">
        <v>10.37472</v>
      </c>
      <c r="K67" s="7">
        <v>0.12992219999999999</v>
      </c>
      <c r="L67" s="7">
        <v>621.1875</v>
      </c>
      <c r="M67" s="7">
        <v>5.3515139999999999</v>
      </c>
      <c r="N67" s="7">
        <v>0</v>
      </c>
      <c r="O67" s="7">
        <v>1.06765E-2</v>
      </c>
      <c r="P67" s="7">
        <f ca="1">SUM(OFFSET($A$55,12,1,1,14))</f>
        <v>726.51912719999996</v>
      </c>
      <c r="Q67" s="7">
        <f ca="1">SUM(OFFSET($A$55,12,1,1,12))</f>
        <v>726.50845069999991</v>
      </c>
    </row>
    <row r="68" spans="1:17" x14ac:dyDescent="0.2">
      <c r="A68" s="7">
        <v>12</v>
      </c>
      <c r="B68" s="7">
        <v>5.2550000000000003E-4</v>
      </c>
      <c r="C68" s="7">
        <v>4.83559E-2</v>
      </c>
      <c r="D68" s="7">
        <v>0.42719770000000001</v>
      </c>
      <c r="E68" s="7">
        <v>1.1738630000000001</v>
      </c>
      <c r="F68" s="7">
        <v>3.399832</v>
      </c>
      <c r="G68" s="7">
        <v>3.0634420000000002</v>
      </c>
      <c r="H68" s="7">
        <v>0.73076870000000005</v>
      </c>
      <c r="I68" s="7">
        <v>0.48848459999999999</v>
      </c>
      <c r="J68" s="7">
        <v>151.29660000000001</v>
      </c>
      <c r="K68" s="7">
        <v>21.625540000000001</v>
      </c>
      <c r="L68" s="7">
        <v>6.4249210000000003</v>
      </c>
      <c r="M68" s="7">
        <v>488.26220000000001</v>
      </c>
      <c r="N68" s="7">
        <v>0.1764618</v>
      </c>
      <c r="O68" s="7">
        <v>14.49677</v>
      </c>
      <c r="P68" s="7">
        <f ca="1">SUM(OFFSET($A$55,13,1,1,14))</f>
        <v>691.61496220000004</v>
      </c>
      <c r="Q68" s="7">
        <f ca="1">SUM(OFFSET($A$55,13,1,1,12))</f>
        <v>676.9417304000001</v>
      </c>
    </row>
    <row r="69" spans="1:17" x14ac:dyDescent="0.2">
      <c r="A69" s="7">
        <v>13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2.429E-4</v>
      </c>
      <c r="K69" s="7">
        <v>0</v>
      </c>
      <c r="L69" s="7">
        <v>0</v>
      </c>
      <c r="M69" s="7">
        <v>0.12960940000000001</v>
      </c>
      <c r="N69" s="7">
        <v>101.3673</v>
      </c>
      <c r="O69" s="7">
        <v>42.130540000000003</v>
      </c>
      <c r="P69" s="7">
        <f ca="1">SUM(OFFSET($A$55,14,1,1,14))</f>
        <v>143.62769230000001</v>
      </c>
      <c r="Q69" s="7">
        <f ca="1">SUM(OFFSET($A$55,14,1,1,12))</f>
        <v>0.1298523</v>
      </c>
    </row>
    <row r="70" spans="1:17" x14ac:dyDescent="0.2">
      <c r="A70" s="7">
        <v>14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0.65265839999999997</v>
      </c>
      <c r="K70" s="7">
        <v>0</v>
      </c>
      <c r="L70" s="7">
        <v>2.0359999999999999E-4</v>
      </c>
      <c r="M70" s="7">
        <v>13.44115</v>
      </c>
      <c r="N70" s="7">
        <v>41.229480000000002</v>
      </c>
      <c r="O70" s="7">
        <v>891.65570000000002</v>
      </c>
      <c r="P70" s="7">
        <f ca="1">SUM(OFFSET($A$55,15,1,1,14))</f>
        <v>946.97919200000001</v>
      </c>
      <c r="Q70" s="7">
        <f ca="1">SUM(OFFSET($A$55,15,1,1,12))</f>
        <v>14.094012000000001</v>
      </c>
    </row>
    <row r="71" spans="1:17" x14ac:dyDescent="0.2">
      <c r="A71" s="7" t="s">
        <v>43</v>
      </c>
      <c r="B71" s="7">
        <f ca="1">SUM(OFFSET($A$55,2,1,14,1))</f>
        <v>659.18043450000005</v>
      </c>
      <c r="C71" s="7">
        <f ca="1">SUM(OFFSET($A$55,2,2,14,1))</f>
        <v>2036.7477130999998</v>
      </c>
      <c r="D71" s="7">
        <f ca="1">SUM(OFFSET($A$55,2,3,14,1))</f>
        <v>4891.9429347000005</v>
      </c>
      <c r="E71" s="7">
        <f ca="1">SUM(OFFSET($A$55,2,4,14,1))</f>
        <v>12510.015754</v>
      </c>
      <c r="F71" s="7">
        <f ca="1">SUM(OFFSET($A$55,2,5,14,1))</f>
        <v>3378.1737699999999</v>
      </c>
      <c r="G71" s="7">
        <f ca="1">SUM(OFFSET($A$55,2,6,14,1))</f>
        <v>1684.8570881000001</v>
      </c>
      <c r="H71" s="7">
        <f ca="1">SUM(OFFSET($A$55,2,7,14,1))</f>
        <v>1578.8101337000001</v>
      </c>
      <c r="I71" s="7">
        <f ca="1">SUM(OFFSET($A$55,2,8,14,1))</f>
        <v>379.27370309999998</v>
      </c>
      <c r="J71" s="7">
        <f ca="1">SUM(OFFSET($A$55,2,9,14,1))</f>
        <v>2919.9339043999998</v>
      </c>
      <c r="K71" s="7">
        <f ca="1">SUM(OFFSET($A$55,2,10,14,1))</f>
        <v>817.94532550000008</v>
      </c>
      <c r="L71" s="7">
        <f ca="1">SUM(OFFSET($A$55,2,11,14,1))</f>
        <v>746.1397498</v>
      </c>
      <c r="M71" s="7">
        <f ca="1">SUM(OFFSET($A$55,2,12,14,1))</f>
        <v>689.04920540000012</v>
      </c>
      <c r="N71" s="7">
        <f ca="1">SUM(OFFSET($A$55,2,13,14,1))</f>
        <v>142.77538050000001</v>
      </c>
      <c r="O71" s="7">
        <f ca="1">SUM(OFFSET($A$55,2,14,14,1))</f>
        <v>949.3740616</v>
      </c>
      <c r="P71" s="7">
        <f ca="1">SUM(OFFSET($A$55,16,1,1,14))</f>
        <v>33384.219158400003</v>
      </c>
      <c r="Q71" s="7">
        <f ca="1">SUM(OFFSET($A$55,16,1,1,12))</f>
        <v>32292.069716300004</v>
      </c>
    </row>
    <row r="72" spans="1:17" x14ac:dyDescent="0.2">
      <c r="O72" s="12" t="s">
        <v>59</v>
      </c>
      <c r="P72" s="7">
        <f ca="1">SUM(OFFSET($B$57,0,0,12,12))</f>
        <v>32277.845852000002</v>
      </c>
    </row>
    <row r="73" spans="1:17" x14ac:dyDescent="0.2">
      <c r="A73" s="7" t="s">
        <v>95</v>
      </c>
    </row>
    <row r="74" spans="1:17" x14ac:dyDescent="0.2">
      <c r="B74" s="7">
        <v>1</v>
      </c>
      <c r="C74" s="7">
        <v>2</v>
      </c>
      <c r="D74" s="7">
        <v>3</v>
      </c>
      <c r="E74" s="7">
        <v>4</v>
      </c>
      <c r="F74" s="7">
        <v>5</v>
      </c>
      <c r="G74" s="7">
        <v>6</v>
      </c>
      <c r="H74" s="7">
        <v>7</v>
      </c>
      <c r="I74" s="7">
        <v>8</v>
      </c>
      <c r="J74" s="7">
        <v>9</v>
      </c>
      <c r="K74" s="7">
        <v>10</v>
      </c>
      <c r="L74" s="7">
        <v>11</v>
      </c>
      <c r="M74" s="7">
        <v>12</v>
      </c>
      <c r="N74" s="7">
        <v>13</v>
      </c>
      <c r="O74" s="7">
        <v>14</v>
      </c>
      <c r="P74" s="7" t="s">
        <v>43</v>
      </c>
      <c r="Q74" s="7" t="s">
        <v>61</v>
      </c>
    </row>
    <row r="75" spans="1:17" x14ac:dyDescent="0.2">
      <c r="A75" s="7">
        <v>1</v>
      </c>
      <c r="B75" s="7">
        <v>0</v>
      </c>
      <c r="C75" s="7">
        <v>8.6050719999999998</v>
      </c>
      <c r="D75" s="7">
        <v>97.360470000000007</v>
      </c>
      <c r="E75" s="7">
        <v>91.568100000000001</v>
      </c>
      <c r="F75" s="7">
        <v>19.171600000000002</v>
      </c>
      <c r="G75" s="7">
        <v>1.8994759999999999</v>
      </c>
      <c r="H75" s="7">
        <v>4.852023</v>
      </c>
      <c r="I75" s="7">
        <v>0.1063957</v>
      </c>
      <c r="J75" s="7">
        <v>0.74438570000000004</v>
      </c>
      <c r="K75" s="7">
        <v>4.6795400000000001E-2</v>
      </c>
      <c r="L75" s="7">
        <v>4.3686099999999999E-2</v>
      </c>
      <c r="M75" s="7">
        <v>3.0438E-2</v>
      </c>
      <c r="N75" s="7">
        <v>0</v>
      </c>
      <c r="O75" s="7">
        <v>0</v>
      </c>
      <c r="P75" s="7">
        <f ca="1">SUM(OFFSET($A$73,2,1,1,14))</f>
        <v>224.42844190000002</v>
      </c>
      <c r="Q75" s="7">
        <f ca="1">SUM(OFFSET($A$73,2,1,1,12))</f>
        <v>224.42844190000002</v>
      </c>
    </row>
    <row r="76" spans="1:17" x14ac:dyDescent="0.2">
      <c r="A76" s="7">
        <v>2</v>
      </c>
      <c r="B76" s="7">
        <v>0</v>
      </c>
      <c r="C76" s="7">
        <v>0</v>
      </c>
      <c r="D76" s="7">
        <v>421.58199999999999</v>
      </c>
      <c r="E76" s="7">
        <v>268.57690000000002</v>
      </c>
      <c r="F76" s="7">
        <v>81.386060000000001</v>
      </c>
      <c r="G76" s="7">
        <v>21.204339999999998</v>
      </c>
      <c r="H76" s="7">
        <v>12.598089999999999</v>
      </c>
      <c r="I76" s="7">
        <v>0.37011100000000002</v>
      </c>
      <c r="J76" s="7">
        <v>18.364789999999999</v>
      </c>
      <c r="K76" s="7">
        <v>0.21583930000000001</v>
      </c>
      <c r="L76" s="7">
        <v>1.0950070000000001</v>
      </c>
      <c r="M76" s="7">
        <v>0.77501399999999998</v>
      </c>
      <c r="N76" s="7">
        <v>0</v>
      </c>
      <c r="O76" s="7">
        <v>0</v>
      </c>
      <c r="P76" s="7">
        <f ca="1">SUM(OFFSET($A$73,3,1,1,14))</f>
        <v>826.16815129999998</v>
      </c>
      <c r="Q76" s="7">
        <f ca="1">SUM(OFFSET($A$73,3,1,1,12))</f>
        <v>826.16815129999998</v>
      </c>
    </row>
    <row r="77" spans="1:17" x14ac:dyDescent="0.2">
      <c r="A77" s="7">
        <v>3</v>
      </c>
      <c r="B77" s="7">
        <v>37.632570000000001</v>
      </c>
      <c r="C77" s="7">
        <v>333.88330000000002</v>
      </c>
      <c r="D77" s="7">
        <v>276.0686</v>
      </c>
      <c r="E77" s="7">
        <v>1862.771</v>
      </c>
      <c r="F77" s="7">
        <v>445.21910000000003</v>
      </c>
      <c r="G77" s="7">
        <v>94.334000000000003</v>
      </c>
      <c r="H77" s="7">
        <v>345.29329999999999</v>
      </c>
      <c r="I77" s="7">
        <v>16.219750000000001</v>
      </c>
      <c r="J77" s="7">
        <v>132.1771</v>
      </c>
      <c r="K77" s="7">
        <v>10.06765</v>
      </c>
      <c r="L77" s="7">
        <v>4.2817259999999999</v>
      </c>
      <c r="M77" s="7">
        <v>3.21753</v>
      </c>
      <c r="N77" s="7">
        <v>0</v>
      </c>
      <c r="O77" s="7">
        <v>2.6808000000000001E-3</v>
      </c>
      <c r="P77" s="7">
        <f ca="1">SUM(OFFSET($A$73,4,1,1,14))</f>
        <v>3561.1683067999993</v>
      </c>
      <c r="Q77" s="7">
        <f ca="1">SUM(OFFSET($A$73,4,1,1,12))</f>
        <v>3561.1656259999995</v>
      </c>
    </row>
    <row r="78" spans="1:17" x14ac:dyDescent="0.2">
      <c r="A78" s="7">
        <v>4</v>
      </c>
      <c r="B78" s="7">
        <v>123.97329999999999</v>
      </c>
      <c r="C78" s="7">
        <v>350.48020000000002</v>
      </c>
      <c r="D78" s="7">
        <v>2641.3609999999999</v>
      </c>
      <c r="E78" s="7">
        <v>1986.1389999999999</v>
      </c>
      <c r="F78" s="7">
        <v>1763.1279999999999</v>
      </c>
      <c r="G78" s="7">
        <v>155.63919999999999</v>
      </c>
      <c r="H78" s="7">
        <v>884.09429999999998</v>
      </c>
      <c r="I78" s="7">
        <v>88.626900000000006</v>
      </c>
      <c r="J78" s="7">
        <v>235.99199999999999</v>
      </c>
      <c r="K78" s="7">
        <v>22.753730000000001</v>
      </c>
      <c r="L78" s="7">
        <v>8.4350860000000001</v>
      </c>
      <c r="M78" s="7">
        <v>11.914680000000001</v>
      </c>
      <c r="N78" s="7">
        <v>0</v>
      </c>
      <c r="O78" s="7">
        <v>6.1212999999999997E-3</v>
      </c>
      <c r="P78" s="7">
        <f ca="1">SUM(OFFSET($A$73,5,1,1,14))</f>
        <v>8272.5435172999987</v>
      </c>
      <c r="Q78" s="7">
        <f ca="1">SUM(OFFSET($A$73,5,1,1,12))</f>
        <v>8272.5373959999979</v>
      </c>
    </row>
    <row r="79" spans="1:17" x14ac:dyDescent="0.2">
      <c r="A79" s="7">
        <v>5</v>
      </c>
      <c r="B79" s="7">
        <v>22.296659999999999</v>
      </c>
      <c r="C79" s="7">
        <v>95.331130000000002</v>
      </c>
      <c r="D79" s="7">
        <v>564.82820000000004</v>
      </c>
      <c r="E79" s="7">
        <v>1549.2860000000001</v>
      </c>
      <c r="F79" s="7">
        <v>1784.23</v>
      </c>
      <c r="G79" s="7">
        <v>556.66759999999999</v>
      </c>
      <c r="H79" s="7">
        <v>136.1216</v>
      </c>
      <c r="I79" s="7">
        <v>8.5348819999999996</v>
      </c>
      <c r="J79" s="7">
        <v>336.82600000000002</v>
      </c>
      <c r="K79" s="7">
        <v>12.73471</v>
      </c>
      <c r="L79" s="7">
        <v>17.79908</v>
      </c>
      <c r="M79" s="7">
        <v>22.89358</v>
      </c>
      <c r="N79" s="7">
        <v>0</v>
      </c>
      <c r="O79" s="7">
        <v>9.30864E-2</v>
      </c>
      <c r="P79" s="7">
        <f ca="1">SUM(OFFSET($A$73,6,1,1,14))</f>
        <v>5107.6425283999997</v>
      </c>
      <c r="Q79" s="7">
        <f ca="1">SUM(OFFSET($A$73,6,1,1,12))</f>
        <v>5107.5494419999995</v>
      </c>
    </row>
    <row r="80" spans="1:17" x14ac:dyDescent="0.2">
      <c r="A80" s="7">
        <v>6</v>
      </c>
      <c r="B80" s="7">
        <v>2.0753409999999999</v>
      </c>
      <c r="C80" s="7">
        <v>23.752680000000002</v>
      </c>
      <c r="D80" s="7">
        <v>141.91229999999999</v>
      </c>
      <c r="E80" s="7">
        <v>132.40270000000001</v>
      </c>
      <c r="F80" s="7">
        <v>524.55520000000001</v>
      </c>
      <c r="G80" s="7">
        <v>94.550110000000004</v>
      </c>
      <c r="H80" s="7">
        <v>15.17151</v>
      </c>
      <c r="I80" s="7">
        <v>2.0912519999999999</v>
      </c>
      <c r="J80" s="7">
        <v>144.494</v>
      </c>
      <c r="K80" s="7">
        <v>5.4446589999999997</v>
      </c>
      <c r="L80" s="7">
        <v>0.72755709999999996</v>
      </c>
      <c r="M80" s="7">
        <v>7.3973620000000002</v>
      </c>
      <c r="N80" s="7">
        <v>0</v>
      </c>
      <c r="O80" s="7">
        <v>2.7451E-2</v>
      </c>
      <c r="P80" s="7">
        <f ca="1">SUM(OFFSET($A$73,7,1,1,14))</f>
        <v>1094.6021220999999</v>
      </c>
      <c r="Q80" s="7">
        <f ca="1">SUM(OFFSET($A$73,7,1,1,12))</f>
        <v>1094.5746710999999</v>
      </c>
    </row>
    <row r="81" spans="1:17" x14ac:dyDescent="0.2">
      <c r="A81" s="7">
        <v>7</v>
      </c>
      <c r="B81" s="7">
        <v>4.9092190000000002</v>
      </c>
      <c r="C81" s="7">
        <v>12.29935</v>
      </c>
      <c r="D81" s="7">
        <v>426.17039999999997</v>
      </c>
      <c r="E81" s="7">
        <v>753.16070000000002</v>
      </c>
      <c r="F81" s="7">
        <v>122.33029999999999</v>
      </c>
      <c r="G81" s="7">
        <v>14.097939999999999</v>
      </c>
      <c r="H81" s="7">
        <v>129.5025</v>
      </c>
      <c r="I81" s="7">
        <v>33.993139999999997</v>
      </c>
      <c r="J81" s="7">
        <v>68.781350000000003</v>
      </c>
      <c r="K81" s="7">
        <v>14.297750000000001</v>
      </c>
      <c r="L81" s="7">
        <v>0.22979749999999999</v>
      </c>
      <c r="M81" s="7">
        <v>2.8574679999999999</v>
      </c>
      <c r="N81" s="7">
        <v>0</v>
      </c>
      <c r="O81" s="7">
        <v>0</v>
      </c>
      <c r="P81" s="7">
        <f ca="1">SUM(OFFSET($A$73,8,1,1,14))</f>
        <v>1582.6299145</v>
      </c>
      <c r="Q81" s="7">
        <f ca="1">SUM(OFFSET($A$73,8,1,1,12))</f>
        <v>1582.6299145</v>
      </c>
    </row>
    <row r="82" spans="1:17" x14ac:dyDescent="0.2">
      <c r="A82" s="7">
        <v>8</v>
      </c>
      <c r="B82" s="7">
        <v>0.1132397</v>
      </c>
      <c r="C82" s="7">
        <v>0.37822109999999998</v>
      </c>
      <c r="D82" s="7">
        <v>24.99634</v>
      </c>
      <c r="E82" s="7">
        <v>75.402320000000003</v>
      </c>
      <c r="F82" s="7">
        <v>7.7773479999999999</v>
      </c>
      <c r="G82" s="7">
        <v>2.0089109999999999</v>
      </c>
      <c r="H82" s="7">
        <v>22.299119999999998</v>
      </c>
      <c r="I82" s="7">
        <v>3.5111700000000003E-2</v>
      </c>
      <c r="J82" s="7">
        <v>17.451370000000001</v>
      </c>
      <c r="K82" s="7">
        <v>0.75626349999999998</v>
      </c>
      <c r="L82" s="7">
        <v>2.52824E-2</v>
      </c>
      <c r="M82" s="7">
        <v>0.80688789999999999</v>
      </c>
      <c r="N82" s="7">
        <v>0</v>
      </c>
      <c r="O82" s="7">
        <v>8.8900000000000006E-5</v>
      </c>
      <c r="P82" s="7">
        <f ca="1">SUM(OFFSET($A$73,9,1,1,14))</f>
        <v>152.05050419999998</v>
      </c>
      <c r="Q82" s="7">
        <f ca="1">SUM(OFFSET($A$73,9,1,1,12))</f>
        <v>152.05041529999997</v>
      </c>
    </row>
    <row r="83" spans="1:17" x14ac:dyDescent="0.2">
      <c r="A83" s="7">
        <v>9</v>
      </c>
      <c r="B83" s="7">
        <v>0.84748970000000001</v>
      </c>
      <c r="C83" s="7">
        <v>20.521879999999999</v>
      </c>
      <c r="D83" s="7">
        <v>193.16059999999999</v>
      </c>
      <c r="E83" s="7">
        <v>213.47880000000001</v>
      </c>
      <c r="F83" s="7">
        <v>339.27879999999999</v>
      </c>
      <c r="G83" s="7">
        <v>161.4076</v>
      </c>
      <c r="H83" s="7">
        <v>93.710989999999995</v>
      </c>
      <c r="I83" s="7">
        <v>28.670660000000002</v>
      </c>
      <c r="J83" s="7">
        <v>395.56169999999997</v>
      </c>
      <c r="K83" s="7">
        <v>10.624919999999999</v>
      </c>
      <c r="L83" s="7">
        <v>6.1479470000000003</v>
      </c>
      <c r="M83" s="7">
        <v>9.5349599999999999</v>
      </c>
      <c r="N83" s="7">
        <v>0</v>
      </c>
      <c r="O83" s="7">
        <v>0.19651260000000001</v>
      </c>
      <c r="P83" s="7">
        <f ca="1">SUM(OFFSET($A$73,10,1,1,14))</f>
        <v>1473.1428592999998</v>
      </c>
      <c r="Q83" s="7">
        <f ca="1">SUM(OFFSET($A$73,10,1,1,12))</f>
        <v>1472.9463466999998</v>
      </c>
    </row>
    <row r="84" spans="1:17" x14ac:dyDescent="0.2">
      <c r="A84" s="7">
        <v>10</v>
      </c>
      <c r="B84" s="7">
        <v>5.1288199999999999E-2</v>
      </c>
      <c r="C84" s="7">
        <v>0.23444950000000001</v>
      </c>
      <c r="D84" s="7">
        <v>15.16427</v>
      </c>
      <c r="E84" s="7">
        <v>18.757560000000002</v>
      </c>
      <c r="F84" s="7">
        <v>12.730359999999999</v>
      </c>
      <c r="G84" s="7">
        <v>6.0170310000000002</v>
      </c>
      <c r="H84" s="7">
        <v>15.972479999999999</v>
      </c>
      <c r="I84" s="7">
        <v>1.20858</v>
      </c>
      <c r="J84" s="7">
        <v>11.97625</v>
      </c>
      <c r="K84" s="7">
        <v>0</v>
      </c>
      <c r="L84" s="7">
        <v>5.4055400000000003E-2</v>
      </c>
      <c r="M84" s="7">
        <v>0</v>
      </c>
      <c r="N84" s="7">
        <v>0</v>
      </c>
      <c r="O84" s="7">
        <v>0</v>
      </c>
      <c r="P84" s="7">
        <f ca="1">SUM(OFFSET($A$73,11,1,1,14))</f>
        <v>82.166324099999983</v>
      </c>
      <c r="Q84" s="7">
        <f ca="1">SUM(OFFSET($A$73,11,1,1,12))</f>
        <v>82.166324099999983</v>
      </c>
    </row>
    <row r="85" spans="1:17" x14ac:dyDescent="0.2">
      <c r="A85" s="7">
        <v>11</v>
      </c>
      <c r="B85" s="7">
        <v>4.3750999999999998E-2</v>
      </c>
      <c r="C85" s="7">
        <v>1.1678390000000001</v>
      </c>
      <c r="D85" s="7">
        <v>7.3590299999999997</v>
      </c>
      <c r="E85" s="7">
        <v>6.1777889999999998</v>
      </c>
      <c r="F85" s="7">
        <v>13.551970000000001</v>
      </c>
      <c r="G85" s="7">
        <v>41.993119999999998</v>
      </c>
      <c r="H85" s="7">
        <v>0.23563139999999999</v>
      </c>
      <c r="I85" s="7">
        <v>2.0590799999999999E-2</v>
      </c>
      <c r="J85" s="7">
        <v>6.7790059999999999</v>
      </c>
      <c r="K85" s="7">
        <v>0.1250269</v>
      </c>
      <c r="L85" s="7">
        <v>3.1599529999999998</v>
      </c>
      <c r="M85" s="7">
        <v>0.16701450000000001</v>
      </c>
      <c r="N85" s="7">
        <v>0</v>
      </c>
      <c r="O85" s="7">
        <v>0</v>
      </c>
      <c r="P85" s="7">
        <f ca="1">SUM(OFFSET($A$73,12,1,1,14))</f>
        <v>80.780721599999978</v>
      </c>
      <c r="Q85" s="7">
        <f ca="1">SUM(OFFSET($A$73,12,1,1,12))</f>
        <v>80.780721599999978</v>
      </c>
    </row>
    <row r="86" spans="1:17" x14ac:dyDescent="0.2">
      <c r="A86" s="7">
        <v>12</v>
      </c>
      <c r="B86" s="7">
        <v>2.87069E-2</v>
      </c>
      <c r="C86" s="7">
        <v>0.73903129999999995</v>
      </c>
      <c r="D86" s="7">
        <v>4.8235070000000002</v>
      </c>
      <c r="E86" s="7">
        <v>9.095682</v>
      </c>
      <c r="F86" s="7">
        <v>19.136710000000001</v>
      </c>
      <c r="G86" s="7">
        <v>9.1182829999999999</v>
      </c>
      <c r="H86" s="7">
        <v>2.7561230000000001</v>
      </c>
      <c r="I86" s="7">
        <v>0.85956100000000002</v>
      </c>
      <c r="J86" s="7">
        <v>8.1844870000000007</v>
      </c>
      <c r="K86" s="7">
        <v>0</v>
      </c>
      <c r="L86" s="7">
        <v>3.3070999999999999E-3</v>
      </c>
      <c r="M86" s="7">
        <v>0</v>
      </c>
      <c r="N86" s="7">
        <v>0</v>
      </c>
      <c r="O86" s="7">
        <v>0</v>
      </c>
      <c r="P86" s="7">
        <f ca="1">SUM(OFFSET($A$73,13,1,1,14))</f>
        <v>54.745398300000005</v>
      </c>
      <c r="Q86" s="7">
        <f ca="1">SUM(OFFSET($A$73,13,1,1,12))</f>
        <v>54.745398300000005</v>
      </c>
    </row>
    <row r="87" spans="1:17" x14ac:dyDescent="0.2">
      <c r="A87" s="7">
        <v>13</v>
      </c>
      <c r="B87" s="7">
        <v>1.178E-4</v>
      </c>
      <c r="C87" s="7">
        <v>1.5824000000000001E-3</v>
      </c>
      <c r="D87" s="7">
        <v>1.7470200000000002E-2</v>
      </c>
      <c r="E87" s="7">
        <v>3.4280199999999997E-2</v>
      </c>
      <c r="F87" s="7">
        <v>6.9000099999999995E-2</v>
      </c>
      <c r="G87" s="7">
        <v>0.58854899999999999</v>
      </c>
      <c r="H87" s="7">
        <v>1.3917999999999999E-3</v>
      </c>
      <c r="I87" s="7">
        <v>1.9919999999999999E-4</v>
      </c>
      <c r="J87" s="7">
        <v>6.1747799999999999E-2</v>
      </c>
      <c r="K87" s="7">
        <v>0</v>
      </c>
      <c r="L87" s="7">
        <v>3.8031030000000001</v>
      </c>
      <c r="M87" s="7">
        <v>0.44790429999999998</v>
      </c>
      <c r="N87" s="7">
        <v>0</v>
      </c>
      <c r="O87" s="7">
        <v>0</v>
      </c>
      <c r="P87" s="7">
        <f ca="1">SUM(OFFSET($A$73,14,1,1,14))</f>
        <v>5.0253458000000002</v>
      </c>
      <c r="Q87" s="7">
        <f ca="1">SUM(OFFSET($A$73,14,1,1,12))</f>
        <v>5.0253458000000002</v>
      </c>
    </row>
    <row r="88" spans="1:17" x14ac:dyDescent="0.2">
      <c r="A88" s="7">
        <v>14</v>
      </c>
      <c r="B88" s="7">
        <v>1.26E-5</v>
      </c>
      <c r="C88" s="7">
        <v>6.3000000000000003E-4</v>
      </c>
      <c r="D88" s="7">
        <v>4.5025799999999998E-2</v>
      </c>
      <c r="E88" s="7">
        <v>2.4886399999999999E-2</v>
      </c>
      <c r="F88" s="7">
        <v>3.3979299999999997E-2</v>
      </c>
      <c r="G88" s="7">
        <v>0.26939879999999999</v>
      </c>
      <c r="H88" s="7">
        <v>3.2600000000000001E-4</v>
      </c>
      <c r="I88" s="7">
        <v>0</v>
      </c>
      <c r="J88" s="7">
        <v>0.40098030000000001</v>
      </c>
      <c r="K88" s="7">
        <v>0</v>
      </c>
      <c r="L88" s="7">
        <v>1.620878</v>
      </c>
      <c r="M88" s="7">
        <v>1.648193</v>
      </c>
      <c r="N88" s="7">
        <v>0</v>
      </c>
      <c r="O88" s="7">
        <v>0</v>
      </c>
      <c r="P88" s="7">
        <f ca="1">SUM(OFFSET($A$73,15,1,1,14))</f>
        <v>4.0443102</v>
      </c>
      <c r="Q88" s="7">
        <f ca="1">SUM(OFFSET($A$73,15,1,1,12))</f>
        <v>4.0443102</v>
      </c>
    </row>
    <row r="89" spans="1:17" x14ac:dyDescent="0.2">
      <c r="A89" s="7" t="s">
        <v>43</v>
      </c>
      <c r="B89" s="7">
        <f ca="1">SUM(OFFSET($A$73,2,1,14,1))</f>
        <v>191.97169589999999</v>
      </c>
      <c r="C89" s="7">
        <f ca="1">SUM(OFFSET($A$73,2,2,14,1))</f>
        <v>847.39536529999998</v>
      </c>
      <c r="D89" s="7">
        <f ca="1">SUM(OFFSET($A$73,2,3,14,1))</f>
        <v>4814.8492130000004</v>
      </c>
      <c r="E89" s="7">
        <f ca="1">SUM(OFFSET($A$73,2,4,14,1))</f>
        <v>6966.8757175999999</v>
      </c>
      <c r="F89" s="7">
        <f ca="1">SUM(OFFSET($A$73,2,5,14,1))</f>
        <v>5132.5984273999993</v>
      </c>
      <c r="G89" s="7">
        <f ca="1">SUM(OFFSET($A$73,2,6,14,1))</f>
        <v>1159.7955588000004</v>
      </c>
      <c r="H89" s="7">
        <f ca="1">SUM(OFFSET($A$73,2,7,14,1))</f>
        <v>1662.6093851999997</v>
      </c>
      <c r="I89" s="7">
        <f ca="1">SUM(OFFSET($A$73,2,8,14,1))</f>
        <v>180.7371334</v>
      </c>
      <c r="J89" s="7">
        <f ca="1">SUM(OFFSET($A$73,2,9,14,1))</f>
        <v>1377.7951667999996</v>
      </c>
      <c r="K89" s="7">
        <f ca="1">SUM(OFFSET($A$73,2,10,14,1))</f>
        <v>77.0673441</v>
      </c>
      <c r="L89" s="7">
        <f ca="1">SUM(OFFSET($A$73,2,11,14,1))</f>
        <v>47.4264656</v>
      </c>
      <c r="M89" s="7">
        <f ca="1">SUM(OFFSET($A$73,2,12,14,1))</f>
        <v>61.691031699999996</v>
      </c>
      <c r="N89" s="7">
        <f ca="1">SUM(OFFSET($A$73,2,13,14,1))</f>
        <v>0</v>
      </c>
      <c r="O89" s="7">
        <f ca="1">SUM(OFFSET($A$73,2,14,14,1))</f>
        <v>0.32594100000000004</v>
      </c>
      <c r="P89" s="7">
        <f ca="1">SUM(OFFSET($A$73,16,1,1,14))</f>
        <v>22521.138445800003</v>
      </c>
      <c r="Q89" s="7">
        <f ca="1">SUM(OFFSET($A$73,16,1,1,12))</f>
        <v>22520.812504800004</v>
      </c>
    </row>
    <row r="90" spans="1:17" x14ac:dyDescent="0.2">
      <c r="O90" s="12" t="s">
        <v>59</v>
      </c>
      <c r="P90" s="7">
        <f ca="1">SUM(OFFSET($B$75,0,0,12,12))</f>
        <v>22511.742848799993</v>
      </c>
    </row>
    <row r="91" spans="1:17" x14ac:dyDescent="0.2">
      <c r="A91" s="7" t="s">
        <v>97</v>
      </c>
    </row>
    <row r="92" spans="1:17" x14ac:dyDescent="0.2">
      <c r="B92" s="7">
        <v>1</v>
      </c>
      <c r="C92" s="7">
        <v>2</v>
      </c>
      <c r="D92" s="7">
        <v>3</v>
      </c>
      <c r="E92" s="7">
        <v>4</v>
      </c>
      <c r="F92" s="7">
        <v>5</v>
      </c>
      <c r="G92" s="7">
        <v>6</v>
      </c>
      <c r="H92" s="7">
        <v>7</v>
      </c>
      <c r="I92" s="7">
        <v>8</v>
      </c>
      <c r="J92" s="7">
        <v>9</v>
      </c>
      <c r="K92" s="7">
        <v>10</v>
      </c>
      <c r="L92" s="7">
        <v>11</v>
      </c>
      <c r="M92" s="7">
        <v>12</v>
      </c>
      <c r="N92" s="7">
        <v>13</v>
      </c>
      <c r="O92" s="7">
        <v>14</v>
      </c>
      <c r="P92" s="7" t="s">
        <v>43</v>
      </c>
      <c r="Q92" s="7" t="s">
        <v>61</v>
      </c>
    </row>
    <row r="93" spans="1:17" x14ac:dyDescent="0.2">
      <c r="A93" s="7">
        <v>1</v>
      </c>
      <c r="B93" s="7">
        <v>549.26390000000004</v>
      </c>
      <c r="C93" s="7">
        <v>36.933219999999999</v>
      </c>
      <c r="D93" s="7">
        <v>15.41934</v>
      </c>
      <c r="E93" s="7">
        <v>0.38996649999999999</v>
      </c>
      <c r="F93" s="7">
        <v>1.8997E-3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f ca="1">SUM(OFFSET($A$91,2,1,1,14))</f>
        <v>602.00832620000006</v>
      </c>
      <c r="Q93" s="7">
        <f ca="1">SUM(OFFSET($A$91,2,1,1,12))</f>
        <v>602.00832620000006</v>
      </c>
    </row>
    <row r="94" spans="1:17" x14ac:dyDescent="0.2">
      <c r="A94" s="7">
        <v>2</v>
      </c>
      <c r="B94" s="7">
        <v>44.558500000000002</v>
      </c>
      <c r="C94" s="7">
        <v>2146.0239999999999</v>
      </c>
      <c r="D94" s="7">
        <v>10.957520000000001</v>
      </c>
      <c r="E94" s="7">
        <v>6.9129899999999997</v>
      </c>
      <c r="F94" s="7">
        <v>1.4575260000000001</v>
      </c>
      <c r="G94" s="7">
        <v>1.527E-4</v>
      </c>
      <c r="H94" s="7">
        <v>4.8999999999999997E-6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f ca="1">SUM(OFFSET($A$91,3,1,1,14))</f>
        <v>2209.9106935999998</v>
      </c>
      <c r="Q94" s="7">
        <f ca="1">SUM(OFFSET($A$91,3,1,1,12))</f>
        <v>2209.9106935999998</v>
      </c>
    </row>
    <row r="95" spans="1:17" x14ac:dyDescent="0.2">
      <c r="A95" s="7">
        <v>3</v>
      </c>
      <c r="B95" s="7">
        <v>17.346820000000001</v>
      </c>
      <c r="C95" s="7">
        <v>11.4194</v>
      </c>
      <c r="D95" s="7">
        <v>6795.201</v>
      </c>
      <c r="E95" s="7">
        <v>1005.877</v>
      </c>
      <c r="F95" s="7">
        <v>5.514221</v>
      </c>
      <c r="G95" s="7">
        <v>0</v>
      </c>
      <c r="H95" s="7">
        <v>0.36086760000000001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f ca="1">SUM(OFFSET($A$91,4,1,1,14))</f>
        <v>7835.7193086000016</v>
      </c>
      <c r="Q95" s="7">
        <f ca="1">SUM(OFFSET($A$91,4,1,1,12))</f>
        <v>7835.7193086000016</v>
      </c>
    </row>
    <row r="96" spans="1:17" x14ac:dyDescent="0.2">
      <c r="A96" s="7">
        <v>4</v>
      </c>
      <c r="B96" s="7">
        <v>0.3895226</v>
      </c>
      <c r="C96" s="7">
        <v>6.7032069999999999</v>
      </c>
      <c r="D96" s="7">
        <v>1140.0440000000001</v>
      </c>
      <c r="E96" s="7">
        <v>12044.78</v>
      </c>
      <c r="F96" s="7">
        <v>162.13650000000001</v>
      </c>
      <c r="G96" s="7">
        <v>3.3141200000000003E-2</v>
      </c>
      <c r="H96" s="7">
        <v>28.080069999999999</v>
      </c>
      <c r="I96" s="7">
        <v>3.8061000000000002E-3</v>
      </c>
      <c r="J96" s="7">
        <v>1.555E-3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f ca="1">SUM(OFFSET($A$91,5,1,1,14))</f>
        <v>13382.171801900002</v>
      </c>
      <c r="Q96" s="7">
        <f ca="1">SUM(OFFSET($A$91,5,1,1,12))</f>
        <v>13382.171801900002</v>
      </c>
    </row>
    <row r="97" spans="1:17" x14ac:dyDescent="0.2">
      <c r="A97" s="7">
        <v>5</v>
      </c>
      <c r="B97" s="7">
        <v>2.4819E-3</v>
      </c>
      <c r="C97" s="7">
        <v>2.070818</v>
      </c>
      <c r="D97" s="7">
        <v>7.3307310000000001</v>
      </c>
      <c r="E97" s="7">
        <v>181.31059999999999</v>
      </c>
      <c r="F97" s="7">
        <v>3781.1210000000001</v>
      </c>
      <c r="G97" s="7">
        <v>90.558620000000005</v>
      </c>
      <c r="H97" s="7">
        <v>4.2752970000000001</v>
      </c>
      <c r="I97" s="7">
        <v>0.4188289</v>
      </c>
      <c r="J97" s="7">
        <v>5.452712</v>
      </c>
      <c r="K97" s="7">
        <v>0</v>
      </c>
      <c r="L97" s="7">
        <v>8.0099999999999995E-5</v>
      </c>
      <c r="M97" s="7">
        <v>0</v>
      </c>
      <c r="N97" s="7">
        <v>0</v>
      </c>
      <c r="O97" s="7">
        <v>0</v>
      </c>
      <c r="P97" s="7">
        <f ca="1">SUM(OFFSET($A$91,6,1,1,14))</f>
        <v>4072.5411688999998</v>
      </c>
      <c r="Q97" s="7">
        <f ca="1">SUM(OFFSET($A$91,6,1,1,12))</f>
        <v>4072.5411688999998</v>
      </c>
    </row>
    <row r="98" spans="1:17" x14ac:dyDescent="0.2">
      <c r="A98" s="7">
        <v>6</v>
      </c>
      <c r="B98" s="7">
        <v>0</v>
      </c>
      <c r="C98" s="7">
        <v>2.3800000000000001E-4</v>
      </c>
      <c r="D98" s="7">
        <v>0</v>
      </c>
      <c r="E98" s="7">
        <v>3.6983799999999997E-2</v>
      </c>
      <c r="F98" s="7">
        <v>83.550939999999997</v>
      </c>
      <c r="G98" s="7">
        <v>1521.0160000000001</v>
      </c>
      <c r="H98" s="7">
        <v>1.9469000000000001E-3</v>
      </c>
      <c r="I98" s="7">
        <v>3.7219999999999999E-4</v>
      </c>
      <c r="J98" s="7">
        <v>0.52305020000000002</v>
      </c>
      <c r="K98" s="7">
        <v>0</v>
      </c>
      <c r="L98" s="7">
        <v>1.1008849999999999</v>
      </c>
      <c r="M98" s="7">
        <v>6.068E-4</v>
      </c>
      <c r="N98" s="7">
        <v>0</v>
      </c>
      <c r="O98" s="7">
        <v>0</v>
      </c>
      <c r="P98" s="7">
        <f ca="1">SUM(OFFSET($A$91,7,1,1,14))</f>
        <v>1606.2310229</v>
      </c>
      <c r="Q98" s="7">
        <f ca="1">SUM(OFFSET($A$91,7,1,1,12))</f>
        <v>1606.2310229</v>
      </c>
    </row>
    <row r="99" spans="1:17" x14ac:dyDescent="0.2">
      <c r="A99" s="7">
        <v>7</v>
      </c>
      <c r="B99" s="7">
        <v>0</v>
      </c>
      <c r="C99" s="7">
        <v>7.9999999999999996E-7</v>
      </c>
      <c r="D99" s="7">
        <v>0.2543571</v>
      </c>
      <c r="E99" s="7">
        <v>16.822559999999999</v>
      </c>
      <c r="F99" s="7">
        <v>4.8103939999999996</v>
      </c>
      <c r="G99" s="7">
        <v>1.3989E-3</v>
      </c>
      <c r="H99" s="7">
        <v>1323.3710000000001</v>
      </c>
      <c r="I99" s="7">
        <v>0.57518239999999998</v>
      </c>
      <c r="J99" s="7">
        <v>5.7916000000000002E-2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f ca="1">SUM(OFFSET($A$91,8,1,1,14))</f>
        <v>1345.8928091999999</v>
      </c>
      <c r="Q99" s="7">
        <f ca="1">SUM(OFFSET($A$91,8,1,1,12))</f>
        <v>1345.8928091999999</v>
      </c>
    </row>
    <row r="100" spans="1:17" x14ac:dyDescent="0.2">
      <c r="A100" s="7">
        <v>8</v>
      </c>
      <c r="B100" s="7">
        <v>0</v>
      </c>
      <c r="C100" s="7">
        <v>0</v>
      </c>
      <c r="D100" s="7">
        <v>0</v>
      </c>
      <c r="E100" s="7">
        <v>4.238E-4</v>
      </c>
      <c r="F100" s="7">
        <v>0.41319020000000001</v>
      </c>
      <c r="G100" s="7">
        <v>2.9589999999999998E-4</v>
      </c>
      <c r="H100" s="7">
        <v>0.20681160000000001</v>
      </c>
      <c r="I100" s="7">
        <v>577.96600000000001</v>
      </c>
      <c r="J100" s="7">
        <v>2.5910099999999998</v>
      </c>
      <c r="K100" s="7">
        <v>1.0832000000000001E-3</v>
      </c>
      <c r="L100" s="7">
        <v>0</v>
      </c>
      <c r="M100" s="7">
        <v>0</v>
      </c>
      <c r="N100" s="7">
        <v>0</v>
      </c>
      <c r="O100" s="7">
        <v>0</v>
      </c>
      <c r="P100" s="7">
        <f ca="1">SUM(OFFSET($A$91,9,1,1,14))</f>
        <v>581.17881469999998</v>
      </c>
      <c r="Q100" s="7">
        <f ca="1">SUM(OFFSET($A$91,9,1,1,12))</f>
        <v>581.17881469999998</v>
      </c>
    </row>
    <row r="101" spans="1:17" x14ac:dyDescent="0.2">
      <c r="A101" s="7">
        <v>9</v>
      </c>
      <c r="B101" s="7">
        <v>0</v>
      </c>
      <c r="C101" s="7">
        <v>0</v>
      </c>
      <c r="D101" s="7">
        <v>0</v>
      </c>
      <c r="E101" s="7">
        <v>8.9999999999999998E-4</v>
      </c>
      <c r="F101" s="7">
        <v>3.4325600000000001</v>
      </c>
      <c r="G101" s="7">
        <v>0.57281919999999997</v>
      </c>
      <c r="H101" s="7">
        <v>0.1004743</v>
      </c>
      <c r="I101" s="7">
        <v>2.0616310000000002</v>
      </c>
      <c r="J101" s="7">
        <v>2333.7719999999999</v>
      </c>
      <c r="K101" s="7">
        <v>3.0960190000000001</v>
      </c>
      <c r="L101" s="7">
        <v>0.15909870000000001</v>
      </c>
      <c r="M101" s="7">
        <v>78.581389999999999</v>
      </c>
      <c r="N101" s="7">
        <v>0</v>
      </c>
      <c r="O101" s="7">
        <v>0</v>
      </c>
      <c r="P101" s="7">
        <f ca="1">SUM(OFFSET($A$91,10,1,1,14))</f>
        <v>2421.7768921999996</v>
      </c>
      <c r="Q101" s="7">
        <f ca="1">SUM(OFFSET($A$91,10,1,1,12))</f>
        <v>2421.7768921999996</v>
      </c>
    </row>
    <row r="102" spans="1:17" x14ac:dyDescent="0.2">
      <c r="A102" s="7">
        <v>10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1.3603000000000001E-3</v>
      </c>
      <c r="J102" s="7">
        <v>3.5627239999999998</v>
      </c>
      <c r="K102" s="7">
        <v>1328.557</v>
      </c>
      <c r="L102" s="7">
        <v>0</v>
      </c>
      <c r="M102" s="7">
        <v>2.1435740000000001</v>
      </c>
      <c r="N102" s="7">
        <v>0</v>
      </c>
      <c r="O102" s="7">
        <v>0</v>
      </c>
      <c r="P102" s="7">
        <f ca="1">SUM(OFFSET($A$91,11,1,1,14))</f>
        <v>1334.2646583000001</v>
      </c>
      <c r="Q102" s="7">
        <f ca="1">SUM(OFFSET($A$91,11,1,1,12))</f>
        <v>1334.2646583000001</v>
      </c>
    </row>
    <row r="103" spans="1:17" x14ac:dyDescent="0.2">
      <c r="A103" s="7">
        <v>11</v>
      </c>
      <c r="B103" s="7">
        <v>0</v>
      </c>
      <c r="C103" s="7">
        <v>0</v>
      </c>
      <c r="D103" s="7">
        <v>0</v>
      </c>
      <c r="E103" s="7">
        <v>0</v>
      </c>
      <c r="F103" s="7">
        <v>3.43E-5</v>
      </c>
      <c r="G103" s="7">
        <v>1.1203380000000001</v>
      </c>
      <c r="H103" s="7">
        <v>0</v>
      </c>
      <c r="I103" s="7">
        <v>0</v>
      </c>
      <c r="J103" s="7">
        <v>0.12971260000000001</v>
      </c>
      <c r="K103" s="7">
        <v>0</v>
      </c>
      <c r="L103" s="7">
        <v>1266.874</v>
      </c>
      <c r="M103" s="7">
        <v>0.57259720000000003</v>
      </c>
      <c r="N103" s="7">
        <v>0.46133410000000002</v>
      </c>
      <c r="O103" s="7">
        <v>0</v>
      </c>
      <c r="P103" s="7">
        <f ca="1">SUM(OFFSET($A$91,12,1,1,14))</f>
        <v>1269.1580162</v>
      </c>
      <c r="Q103" s="7">
        <f ca="1">SUM(OFFSET($A$91,12,1,1,12))</f>
        <v>1268.6966821000001</v>
      </c>
    </row>
    <row r="104" spans="1:17" x14ac:dyDescent="0.2">
      <c r="A104" s="7">
        <v>12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6.2430000000000005E-4</v>
      </c>
      <c r="H104" s="7">
        <v>0</v>
      </c>
      <c r="I104" s="7">
        <v>0</v>
      </c>
      <c r="J104" s="7">
        <v>81.638869999999997</v>
      </c>
      <c r="K104" s="7">
        <v>2.028492</v>
      </c>
      <c r="L104" s="7">
        <v>0.69603669999999995</v>
      </c>
      <c r="M104" s="7">
        <v>1863.249</v>
      </c>
      <c r="N104" s="7">
        <v>0</v>
      </c>
      <c r="O104" s="7">
        <v>2.0783049999999998</v>
      </c>
      <c r="P104" s="7">
        <f ca="1">SUM(OFFSET($A$91,13,1,1,14))</f>
        <v>1949.6913280000001</v>
      </c>
      <c r="Q104" s="7">
        <f ca="1">SUM(OFFSET($A$91,13,1,1,12))</f>
        <v>1947.6130230000001</v>
      </c>
    </row>
    <row r="105" spans="1:17" x14ac:dyDescent="0.2">
      <c r="A105" s="7">
        <v>13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0.46190589999999998</v>
      </c>
      <c r="M105" s="7">
        <v>0</v>
      </c>
      <c r="N105" s="7">
        <v>610.93060000000003</v>
      </c>
      <c r="O105" s="7">
        <v>1.1600239999999999</v>
      </c>
      <c r="P105" s="7">
        <f ca="1">SUM(OFFSET($A$91,14,1,1,14))</f>
        <v>612.55252990000008</v>
      </c>
      <c r="Q105" s="7">
        <f ca="1">SUM(OFFSET($A$91,14,1,1,12))</f>
        <v>0.46190589999999998</v>
      </c>
    </row>
    <row r="106" spans="1:17" x14ac:dyDescent="0.2">
      <c r="A106" s="7">
        <v>14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2.1347770000000001</v>
      </c>
      <c r="N106" s="7">
        <v>1.2819160000000001</v>
      </c>
      <c r="O106" s="7">
        <v>3502.3820000000001</v>
      </c>
      <c r="P106" s="7">
        <f ca="1">SUM(OFFSET($A$91,15,1,1,14))</f>
        <v>3505.7986930000002</v>
      </c>
      <c r="Q106" s="7">
        <f ca="1">SUM(OFFSET($A$91,15,1,1,12))</f>
        <v>2.1347770000000001</v>
      </c>
    </row>
    <row r="107" spans="1:17" x14ac:dyDescent="0.2">
      <c r="A107" s="7" t="s">
        <v>43</v>
      </c>
      <c r="B107" s="7">
        <f ca="1">SUM(OFFSET($A$91,2,1,14,1))</f>
        <v>611.56122449999998</v>
      </c>
      <c r="C107" s="7">
        <f ca="1">SUM(OFFSET($A$91,2,2,14,1))</f>
        <v>2203.1508838000004</v>
      </c>
      <c r="D107" s="7">
        <f ca="1">SUM(OFFSET($A$91,2,3,14,1))</f>
        <v>7969.2069480999999</v>
      </c>
      <c r="E107" s="7">
        <f ca="1">SUM(OFFSET($A$91,2,4,14,1))</f>
        <v>13256.131424100002</v>
      </c>
      <c r="F107" s="7">
        <f ca="1">SUM(OFFSET($A$91,2,5,14,1))</f>
        <v>4042.4382652000004</v>
      </c>
      <c r="G107" s="7">
        <f ca="1">SUM(OFFSET($A$91,2,6,14,1))</f>
        <v>1613.3033902</v>
      </c>
      <c r="H107" s="7">
        <f ca="1">SUM(OFFSET($A$91,2,7,14,1))</f>
        <v>1356.3964723000001</v>
      </c>
      <c r="I107" s="7">
        <f ca="1">SUM(OFFSET($A$91,2,8,14,1))</f>
        <v>581.02718090000008</v>
      </c>
      <c r="J107" s="7">
        <f ca="1">SUM(OFFSET($A$91,2,9,14,1))</f>
        <v>2427.7295497999994</v>
      </c>
      <c r="K107" s="7">
        <f ca="1">SUM(OFFSET($A$91,2,10,14,1))</f>
        <v>1333.6825942</v>
      </c>
      <c r="L107" s="7">
        <f ca="1">SUM(OFFSET($A$91,2,11,14,1))</f>
        <v>1269.2920063999998</v>
      </c>
      <c r="M107" s="7">
        <f ca="1">SUM(OFFSET($A$91,2,12,14,1))</f>
        <v>1946.681945</v>
      </c>
      <c r="N107" s="7">
        <f ca="1">SUM(OFFSET($A$91,2,13,14,1))</f>
        <v>612.6738501000001</v>
      </c>
      <c r="O107" s="7">
        <f ca="1">SUM(OFFSET($A$91,2,14,14,1))</f>
        <v>3505.6203289999999</v>
      </c>
      <c r="P107" s="7">
        <f ca="1">SUM(OFFSET($A$91,16,1,1,14))</f>
        <v>42728.89606359999</v>
      </c>
      <c r="Q107" s="7">
        <f ca="1">SUM(OFFSET($A$91,16,1,1,12))</f>
        <v>38610.601884499993</v>
      </c>
    </row>
    <row r="108" spans="1:17" x14ac:dyDescent="0.2">
      <c r="O108" s="12" t="s">
        <v>59</v>
      </c>
      <c r="P108" s="7">
        <f ca="1">SUM(OFFSET($B$93,0,0,12,12))</f>
        <v>38608.005201600012</v>
      </c>
    </row>
    <row r="109" spans="1:17" x14ac:dyDescent="0.2">
      <c r="A109" s="7" t="s">
        <v>99</v>
      </c>
    </row>
    <row r="110" spans="1:17" x14ac:dyDescent="0.2">
      <c r="B110" s="7">
        <v>1</v>
      </c>
      <c r="C110" s="7">
        <v>2</v>
      </c>
      <c r="D110" s="7">
        <v>3</v>
      </c>
      <c r="E110" s="7">
        <v>4</v>
      </c>
      <c r="F110" s="7">
        <v>5</v>
      </c>
      <c r="G110" s="7">
        <v>6</v>
      </c>
      <c r="H110" s="7">
        <v>7</v>
      </c>
      <c r="I110" s="7">
        <v>8</v>
      </c>
      <c r="J110" s="7">
        <v>9</v>
      </c>
      <c r="K110" s="7">
        <v>10</v>
      </c>
      <c r="L110" s="7">
        <v>11</v>
      </c>
      <c r="M110" s="7">
        <v>12</v>
      </c>
      <c r="N110" s="7">
        <v>13</v>
      </c>
      <c r="O110" s="7">
        <v>14</v>
      </c>
      <c r="P110" s="7" t="s">
        <v>43</v>
      </c>
      <c r="Q110" s="7" t="s">
        <v>61</v>
      </c>
    </row>
    <row r="111" spans="1:17" x14ac:dyDescent="0.2">
      <c r="A111" s="7">
        <v>1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f ca="1">SUM(OFFSET($A$109,2,1,1,14))</f>
        <v>0</v>
      </c>
      <c r="Q111" s="7">
        <f ca="1">SUM(OFFSET($A$109,2,1,1,12))</f>
        <v>0</v>
      </c>
    </row>
    <row r="112" spans="1:17" x14ac:dyDescent="0.2">
      <c r="A112" s="7">
        <v>2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f ca="1">SUM(OFFSET($A$109,3,1,1,14))</f>
        <v>0</v>
      </c>
      <c r="Q112" s="7">
        <f ca="1">SUM(OFFSET($A$109,3,1,1,12))</f>
        <v>0</v>
      </c>
    </row>
    <row r="113" spans="1:17" x14ac:dyDescent="0.2">
      <c r="A113" s="7">
        <v>3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f ca="1">SUM(OFFSET($A$109,4,1,1,14))</f>
        <v>0</v>
      </c>
      <c r="Q113" s="7">
        <f ca="1">SUM(OFFSET($A$109,4,1,1,12))</f>
        <v>0</v>
      </c>
    </row>
    <row r="114" spans="1:17" x14ac:dyDescent="0.2">
      <c r="A114" s="7">
        <v>4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f ca="1">SUM(OFFSET($A$109,5,1,1,14))</f>
        <v>0</v>
      </c>
      <c r="Q114" s="7">
        <f ca="1">SUM(OFFSET($A$109,5,1,1,12))</f>
        <v>0</v>
      </c>
    </row>
    <row r="115" spans="1:17" x14ac:dyDescent="0.2">
      <c r="A115" s="7">
        <v>5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f ca="1">SUM(OFFSET($A$109,6,1,1,14))</f>
        <v>0</v>
      </c>
      <c r="Q115" s="7">
        <f ca="1">SUM(OFFSET($A$109,6,1,1,12))</f>
        <v>0</v>
      </c>
    </row>
    <row r="116" spans="1:17" x14ac:dyDescent="0.2">
      <c r="A116" s="7">
        <v>6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f ca="1">SUM(OFFSET($A$109,7,1,1,14))</f>
        <v>0</v>
      </c>
      <c r="Q116" s="7">
        <f ca="1">SUM(OFFSET($A$109,7,1,1,12))</f>
        <v>0</v>
      </c>
    </row>
    <row r="117" spans="1:17" x14ac:dyDescent="0.2">
      <c r="A117" s="7">
        <v>7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f ca="1">SUM(OFFSET($A$109,8,1,1,14))</f>
        <v>0</v>
      </c>
      <c r="Q117" s="7">
        <f ca="1">SUM(OFFSET($A$109,8,1,1,12))</f>
        <v>0</v>
      </c>
    </row>
    <row r="118" spans="1:17" x14ac:dyDescent="0.2">
      <c r="A118" s="7">
        <v>8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f ca="1">SUM(OFFSET($A$109,9,1,1,14))</f>
        <v>0</v>
      </c>
      <c r="Q118" s="7">
        <f ca="1">SUM(OFFSET($A$109,9,1,1,12))</f>
        <v>0</v>
      </c>
    </row>
    <row r="119" spans="1:17" x14ac:dyDescent="0.2">
      <c r="A119" s="7">
        <v>9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f ca="1">SUM(OFFSET($A$109,10,1,1,14))</f>
        <v>0</v>
      </c>
      <c r="Q119" s="7">
        <f ca="1">SUM(OFFSET($A$109,10,1,1,12))</f>
        <v>0</v>
      </c>
    </row>
    <row r="120" spans="1:17" x14ac:dyDescent="0.2">
      <c r="A120" s="7">
        <v>10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f ca="1">SUM(OFFSET($A$109,11,1,1,14))</f>
        <v>0</v>
      </c>
      <c r="Q120" s="7">
        <f ca="1">SUM(OFFSET($A$109,11,1,1,12))</f>
        <v>0</v>
      </c>
    </row>
    <row r="121" spans="1:17" x14ac:dyDescent="0.2">
      <c r="A121" s="7">
        <v>11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f ca="1">SUM(OFFSET($A$109,12,1,1,14))</f>
        <v>0</v>
      </c>
      <c r="Q121" s="7">
        <f ca="1">SUM(OFFSET($A$109,12,1,1,12))</f>
        <v>0</v>
      </c>
    </row>
    <row r="122" spans="1:17" x14ac:dyDescent="0.2">
      <c r="A122" s="7">
        <v>12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f ca="1">SUM(OFFSET($A$109,13,1,1,14))</f>
        <v>0</v>
      </c>
      <c r="Q122" s="7">
        <f ca="1">SUM(OFFSET($A$109,13,1,1,12))</f>
        <v>0</v>
      </c>
    </row>
    <row r="123" spans="1:17" x14ac:dyDescent="0.2">
      <c r="A123" s="7">
        <v>13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f ca="1">SUM(OFFSET($A$109,14,1,1,14))</f>
        <v>0</v>
      </c>
      <c r="Q123" s="7">
        <f ca="1">SUM(OFFSET($A$109,14,1,1,12))</f>
        <v>0</v>
      </c>
    </row>
    <row r="124" spans="1:17" x14ac:dyDescent="0.2">
      <c r="A124" s="7">
        <v>14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f ca="1">SUM(OFFSET($A$109,15,1,1,14))</f>
        <v>0</v>
      </c>
      <c r="Q124" s="7">
        <f ca="1">SUM(OFFSET($A$109,15,1,1,12))</f>
        <v>0</v>
      </c>
    </row>
    <row r="125" spans="1:17" x14ac:dyDescent="0.2">
      <c r="A125" s="7" t="s">
        <v>43</v>
      </c>
      <c r="B125" s="7">
        <f ca="1">SUM(OFFSET($A$109,2,1,14,1))</f>
        <v>0</v>
      </c>
      <c r="C125" s="7">
        <f ca="1">SUM(OFFSET($A$109,2,2,14,1))</f>
        <v>0</v>
      </c>
      <c r="D125" s="7">
        <f ca="1">SUM(OFFSET($A$109,2,3,14,1))</f>
        <v>0</v>
      </c>
      <c r="E125" s="7">
        <f ca="1">SUM(OFFSET($A$109,2,4,14,1))</f>
        <v>0</v>
      </c>
      <c r="F125" s="7">
        <f ca="1">SUM(OFFSET($A$109,2,5,14,1))</f>
        <v>0</v>
      </c>
      <c r="G125" s="7">
        <f ca="1">SUM(OFFSET($A$109,2,6,14,1))</f>
        <v>0</v>
      </c>
      <c r="H125" s="7">
        <f ca="1">SUM(OFFSET($A$109,2,7,14,1))</f>
        <v>0</v>
      </c>
      <c r="I125" s="7">
        <f ca="1">SUM(OFFSET($A$109,2,8,14,1))</f>
        <v>0</v>
      </c>
      <c r="J125" s="7">
        <f ca="1">SUM(OFFSET($A$109,2,9,14,1))</f>
        <v>0</v>
      </c>
      <c r="K125" s="7">
        <f ca="1">SUM(OFFSET($A$109,2,10,14,1))</f>
        <v>0</v>
      </c>
      <c r="L125" s="7">
        <f ca="1">SUM(OFFSET($A$109,2,11,14,1))</f>
        <v>0</v>
      </c>
      <c r="M125" s="7">
        <f ca="1">SUM(OFFSET($A$109,2,12,14,1))</f>
        <v>0</v>
      </c>
      <c r="N125" s="7">
        <f ca="1">SUM(OFFSET($A$109,2,13,14,1))</f>
        <v>0</v>
      </c>
      <c r="O125" s="7">
        <f ca="1">SUM(OFFSET($A$109,2,14,14,1))</f>
        <v>0</v>
      </c>
      <c r="P125" s="7">
        <f ca="1">SUM(OFFSET($A$109,16,1,1,14))</f>
        <v>0</v>
      </c>
      <c r="Q125" s="7">
        <f ca="1">SUM(OFFSET($A$109,16,1,1,12))</f>
        <v>0</v>
      </c>
    </row>
    <row r="126" spans="1:17" x14ac:dyDescent="0.2">
      <c r="O126" s="12" t="s">
        <v>59</v>
      </c>
      <c r="P126" s="7">
        <f ca="1">SUM(OFFSET($B$111,0,0,12,12))</f>
        <v>0</v>
      </c>
    </row>
    <row r="127" spans="1:17" x14ac:dyDescent="0.2">
      <c r="A127" s="7" t="s">
        <v>101</v>
      </c>
    </row>
    <row r="128" spans="1:17" x14ac:dyDescent="0.2">
      <c r="B128" s="7">
        <v>1</v>
      </c>
      <c r="C128" s="7">
        <v>2</v>
      </c>
      <c r="D128" s="7">
        <v>3</v>
      </c>
      <c r="E128" s="7">
        <v>4</v>
      </c>
      <c r="F128" s="7">
        <v>5</v>
      </c>
      <c r="G128" s="7">
        <v>6</v>
      </c>
      <c r="H128" s="7">
        <v>7</v>
      </c>
      <c r="I128" s="7">
        <v>8</v>
      </c>
      <c r="J128" s="7">
        <v>9</v>
      </c>
      <c r="K128" s="7">
        <v>10</v>
      </c>
      <c r="L128" s="7">
        <v>11</v>
      </c>
      <c r="M128" s="7">
        <v>12</v>
      </c>
      <c r="N128" s="7">
        <v>13</v>
      </c>
      <c r="O128" s="7">
        <v>14</v>
      </c>
      <c r="P128" s="7" t="s">
        <v>43</v>
      </c>
      <c r="Q128" s="7" t="s">
        <v>61</v>
      </c>
    </row>
    <row r="129" spans="1:17" x14ac:dyDescent="0.2">
      <c r="A129" s="7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f ca="1">SUM(OFFSET($A$127,2,1,1,14))</f>
        <v>0</v>
      </c>
      <c r="Q129" s="7">
        <f ca="1">SUM(OFFSET($A$127,2,1,1,12))</f>
        <v>0</v>
      </c>
    </row>
    <row r="130" spans="1:17" x14ac:dyDescent="0.2">
      <c r="A130" s="7">
        <v>2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f ca="1">SUM(OFFSET($A$127,3,1,1,14))</f>
        <v>0</v>
      </c>
      <c r="Q130" s="7">
        <f ca="1">SUM(OFFSET($A$127,3,1,1,12))</f>
        <v>0</v>
      </c>
    </row>
    <row r="131" spans="1:17" x14ac:dyDescent="0.2">
      <c r="A131" s="7">
        <v>3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f ca="1">SUM(OFFSET($A$127,4,1,1,14))</f>
        <v>0</v>
      </c>
      <c r="Q131" s="7">
        <f ca="1">SUM(OFFSET($A$127,4,1,1,12))</f>
        <v>0</v>
      </c>
    </row>
    <row r="132" spans="1:17" x14ac:dyDescent="0.2">
      <c r="A132" s="7">
        <v>4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f ca="1">SUM(OFFSET($A$127,5,1,1,14))</f>
        <v>0</v>
      </c>
      <c r="Q132" s="7">
        <f ca="1">SUM(OFFSET($A$127,5,1,1,12))</f>
        <v>0</v>
      </c>
    </row>
    <row r="133" spans="1:17" x14ac:dyDescent="0.2">
      <c r="A133" s="7">
        <v>5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f ca="1">SUM(OFFSET($A$127,6,1,1,14))</f>
        <v>0</v>
      </c>
      <c r="Q133" s="7">
        <f ca="1">SUM(OFFSET($A$127,6,1,1,12))</f>
        <v>0</v>
      </c>
    </row>
    <row r="134" spans="1:17" x14ac:dyDescent="0.2">
      <c r="A134" s="7">
        <v>6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f ca="1">SUM(OFFSET($A$127,7,1,1,14))</f>
        <v>0</v>
      </c>
      <c r="Q134" s="7">
        <f ca="1">SUM(OFFSET($A$127,7,1,1,12))</f>
        <v>0</v>
      </c>
    </row>
    <row r="135" spans="1:17" x14ac:dyDescent="0.2">
      <c r="A135" s="7">
        <v>7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f ca="1">SUM(OFFSET($A$127,8,1,1,14))</f>
        <v>0</v>
      </c>
      <c r="Q135" s="7">
        <f ca="1">SUM(OFFSET($A$127,8,1,1,12))</f>
        <v>0</v>
      </c>
    </row>
    <row r="136" spans="1:17" x14ac:dyDescent="0.2">
      <c r="A136" s="7">
        <v>8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f ca="1">SUM(OFFSET($A$127,9,1,1,14))</f>
        <v>0</v>
      </c>
      <c r="Q136" s="7">
        <f ca="1">SUM(OFFSET($A$127,9,1,1,12))</f>
        <v>0</v>
      </c>
    </row>
    <row r="137" spans="1:17" x14ac:dyDescent="0.2">
      <c r="A137" s="7">
        <v>9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f ca="1">SUM(OFFSET($A$127,10,1,1,14))</f>
        <v>0</v>
      </c>
      <c r="Q137" s="7">
        <f ca="1">SUM(OFFSET($A$127,10,1,1,12))</f>
        <v>0</v>
      </c>
    </row>
    <row r="138" spans="1:17" x14ac:dyDescent="0.2">
      <c r="A138" s="7">
        <v>10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f ca="1">SUM(OFFSET($A$127,11,1,1,14))</f>
        <v>0</v>
      </c>
      <c r="Q138" s="7">
        <f ca="1">SUM(OFFSET($A$127,11,1,1,12))</f>
        <v>0</v>
      </c>
    </row>
    <row r="139" spans="1:17" x14ac:dyDescent="0.2">
      <c r="A139" s="7">
        <v>11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f ca="1">SUM(OFFSET($A$127,12,1,1,14))</f>
        <v>0</v>
      </c>
      <c r="Q139" s="7">
        <f ca="1">SUM(OFFSET($A$127,12,1,1,12))</f>
        <v>0</v>
      </c>
    </row>
    <row r="140" spans="1:17" x14ac:dyDescent="0.2">
      <c r="A140" s="7">
        <v>12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f ca="1">SUM(OFFSET($A$127,13,1,1,14))</f>
        <v>0</v>
      </c>
      <c r="Q140" s="7">
        <f ca="1">SUM(OFFSET($A$127,13,1,1,12))</f>
        <v>0</v>
      </c>
    </row>
    <row r="141" spans="1:17" x14ac:dyDescent="0.2">
      <c r="A141" s="7">
        <v>13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f ca="1">SUM(OFFSET($A$127,14,1,1,14))</f>
        <v>0</v>
      </c>
      <c r="Q141" s="7">
        <f ca="1">SUM(OFFSET($A$127,14,1,1,12))</f>
        <v>0</v>
      </c>
    </row>
    <row r="142" spans="1:17" x14ac:dyDescent="0.2">
      <c r="A142" s="7">
        <v>14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f ca="1">SUM(OFFSET($A$127,15,1,1,14))</f>
        <v>0</v>
      </c>
      <c r="Q142" s="7">
        <f ca="1">SUM(OFFSET($A$127,15,1,1,12))</f>
        <v>0</v>
      </c>
    </row>
    <row r="143" spans="1:17" x14ac:dyDescent="0.2">
      <c r="A143" s="7" t="s">
        <v>43</v>
      </c>
      <c r="B143" s="7">
        <f ca="1">SUM(OFFSET($A$127,2,1,14,1))</f>
        <v>0</v>
      </c>
      <c r="C143" s="7">
        <f ca="1">SUM(OFFSET($A$127,2,2,14,1))</f>
        <v>0</v>
      </c>
      <c r="D143" s="7">
        <f ca="1">SUM(OFFSET($A$127,2,3,14,1))</f>
        <v>0</v>
      </c>
      <c r="E143" s="7">
        <f ca="1">SUM(OFFSET($A$127,2,4,14,1))</f>
        <v>0</v>
      </c>
      <c r="F143" s="7">
        <f ca="1">SUM(OFFSET($A$127,2,5,14,1))</f>
        <v>0</v>
      </c>
      <c r="G143" s="7">
        <f ca="1">SUM(OFFSET($A$127,2,6,14,1))</f>
        <v>0</v>
      </c>
      <c r="H143" s="7">
        <f ca="1">SUM(OFFSET($A$127,2,7,14,1))</f>
        <v>0</v>
      </c>
      <c r="I143" s="7">
        <f ca="1">SUM(OFFSET($A$127,2,8,14,1))</f>
        <v>0</v>
      </c>
      <c r="J143" s="7">
        <f ca="1">SUM(OFFSET($A$127,2,9,14,1))</f>
        <v>0</v>
      </c>
      <c r="K143" s="7">
        <f ca="1">SUM(OFFSET($A$127,2,10,14,1))</f>
        <v>0</v>
      </c>
      <c r="L143" s="7">
        <f ca="1">SUM(OFFSET($A$127,2,11,14,1))</f>
        <v>0</v>
      </c>
      <c r="M143" s="7">
        <f ca="1">SUM(OFFSET($A$127,2,12,14,1))</f>
        <v>0</v>
      </c>
      <c r="N143" s="7">
        <f ca="1">SUM(OFFSET($A$127,2,13,14,1))</f>
        <v>0</v>
      </c>
      <c r="O143" s="7">
        <f ca="1">SUM(OFFSET($A$127,2,14,14,1))</f>
        <v>0</v>
      </c>
      <c r="P143" s="7">
        <f ca="1">SUM(OFFSET($A$127,16,1,1,14))</f>
        <v>0</v>
      </c>
      <c r="Q143" s="7">
        <f ca="1">SUM(OFFSET($A$127,16,1,1,12))</f>
        <v>0</v>
      </c>
    </row>
    <row r="144" spans="1:17" x14ac:dyDescent="0.2">
      <c r="O144" s="12" t="s">
        <v>59</v>
      </c>
      <c r="P144" s="7">
        <f ca="1">SUM(OFFSET($B$129,0,0,12,12))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15" width="6.28515625" style="7"/>
    <col min="16" max="17" width="7.7109375" style="7" customWidth="1"/>
    <col min="18" max="18" width="40.7109375" style="7" customWidth="1"/>
    <col min="19" max="16384" width="6.28515625" style="7"/>
  </cols>
  <sheetData>
    <row r="1" spans="1:20" x14ac:dyDescent="0.2">
      <c r="A1" s="7" t="s">
        <v>87</v>
      </c>
    </row>
    <row r="2" spans="1:20" x14ac:dyDescent="0.2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 t="s">
        <v>43</v>
      </c>
      <c r="Q2" s="7" t="s">
        <v>61</v>
      </c>
      <c r="R2" s="7" t="s">
        <v>86</v>
      </c>
      <c r="S2" s="7">
        <f ca="1">OFFSET(A1,16,15)</f>
        <v>400613.71837419993</v>
      </c>
      <c r="T2" s="7">
        <f ca="1">OFFSET(A1,17,15)</f>
        <v>351039.19216399989</v>
      </c>
    </row>
    <row r="3" spans="1:20" x14ac:dyDescent="0.2">
      <c r="A3" s="7">
        <v>1</v>
      </c>
      <c r="B3" s="7">
        <v>3286.5630000000001</v>
      </c>
      <c r="C3" s="7">
        <v>2145.6889999999999</v>
      </c>
      <c r="D3" s="7">
        <v>713.54480000000001</v>
      </c>
      <c r="E3" s="7">
        <v>853.39269999999999</v>
      </c>
      <c r="F3" s="7">
        <v>273.089</v>
      </c>
      <c r="G3" s="7">
        <v>72.148529999999994</v>
      </c>
      <c r="H3" s="7">
        <v>105.98050000000001</v>
      </c>
      <c r="I3" s="7">
        <v>10.38663</v>
      </c>
      <c r="J3" s="7">
        <v>14.88069</v>
      </c>
      <c r="K3" s="7">
        <v>1.736424</v>
      </c>
      <c r="L3" s="7">
        <v>2.3254060000000001</v>
      </c>
      <c r="M3" s="7">
        <v>3.2216930000000001</v>
      </c>
      <c r="N3" s="7">
        <v>3.2698900000000003E-2</v>
      </c>
      <c r="O3" s="7">
        <v>0.30406300000000003</v>
      </c>
      <c r="P3" s="7">
        <f ca="1">SUM(OFFSET($A$1,2,1,1,14))</f>
        <v>7483.2951348999995</v>
      </c>
      <c r="Q3" s="7">
        <f ca="1">SUM(OFFSET($A$1,2,1,1,12))</f>
        <v>7482.9583730000004</v>
      </c>
      <c r="R3" s="7" t="s">
        <v>88</v>
      </c>
      <c r="S3" s="7">
        <f ca="1">OFFSET(A1,34,15)</f>
        <v>106204.40100160001</v>
      </c>
      <c r="T3" s="7">
        <f ca="1">OFFSET(A1,35,15)</f>
        <v>94294.823560300036</v>
      </c>
    </row>
    <row r="4" spans="1:20" x14ac:dyDescent="0.2">
      <c r="A4" s="7">
        <v>2</v>
      </c>
      <c r="B4" s="7">
        <v>2054.0360000000001</v>
      </c>
      <c r="C4" s="7">
        <v>12822.9</v>
      </c>
      <c r="D4" s="7">
        <v>1367.07</v>
      </c>
      <c r="E4" s="7">
        <v>2886.97</v>
      </c>
      <c r="F4" s="7">
        <v>2004.4659999999999</v>
      </c>
      <c r="G4" s="7">
        <v>529.25109999999995</v>
      </c>
      <c r="H4" s="7">
        <v>177.47730000000001</v>
      </c>
      <c r="I4" s="7">
        <v>66.382220000000004</v>
      </c>
      <c r="J4" s="7">
        <v>246.3828</v>
      </c>
      <c r="K4" s="7">
        <v>5.6940780000000002</v>
      </c>
      <c r="L4" s="7">
        <v>32.021909999999998</v>
      </c>
      <c r="M4" s="7">
        <v>71.251990000000006</v>
      </c>
      <c r="N4" s="7">
        <v>0.24309700000000001</v>
      </c>
      <c r="O4" s="7">
        <v>5.0618819999999998</v>
      </c>
      <c r="P4" s="7">
        <f ca="1">SUM(OFFSET($A$1,3,1,1,14))</f>
        <v>22269.208376999999</v>
      </c>
      <c r="Q4" s="7">
        <f ca="1">SUM(OFFSET($A$1,3,1,1,12))</f>
        <v>22263.903397999999</v>
      </c>
      <c r="R4" s="7" t="s">
        <v>90</v>
      </c>
      <c r="S4" s="7">
        <f ca="1">OFFSET(A1,52,15)</f>
        <v>0</v>
      </c>
      <c r="T4" s="7">
        <f ca="1">OFFSET(A1,53,15)</f>
        <v>0</v>
      </c>
    </row>
    <row r="5" spans="1:20" x14ac:dyDescent="0.2">
      <c r="A5" s="7">
        <v>3</v>
      </c>
      <c r="B5" s="7">
        <v>691.48569999999995</v>
      </c>
      <c r="C5" s="7">
        <v>1141.2380000000001</v>
      </c>
      <c r="D5" s="7">
        <v>5124.2219999999998</v>
      </c>
      <c r="E5" s="7">
        <v>9228.2440000000006</v>
      </c>
      <c r="F5" s="7">
        <v>1896.316</v>
      </c>
      <c r="G5" s="7">
        <v>265.68270000000001</v>
      </c>
      <c r="H5" s="7">
        <v>972.43340000000001</v>
      </c>
      <c r="I5" s="7">
        <v>124.09220000000001</v>
      </c>
      <c r="J5" s="7">
        <v>245.8826</v>
      </c>
      <c r="K5" s="7">
        <v>12.68215</v>
      </c>
      <c r="L5" s="7">
        <v>21.18102</v>
      </c>
      <c r="M5" s="7">
        <v>28.92445</v>
      </c>
      <c r="N5" s="7">
        <v>0.32820840000000001</v>
      </c>
      <c r="O5" s="7">
        <v>3.0307849999999998</v>
      </c>
      <c r="P5" s="7">
        <f ca="1">SUM(OFFSET($A$1,4,1,1,14))</f>
        <v>19755.743213400001</v>
      </c>
      <c r="Q5" s="7">
        <f ca="1">SUM(OFFSET($A$1,4,1,1,12))</f>
        <v>19752.384220000004</v>
      </c>
      <c r="R5" s="7" t="s">
        <v>92</v>
      </c>
      <c r="S5" s="7">
        <f ca="1">OFFSET(A1,70,15)</f>
        <v>24035.302988899995</v>
      </c>
      <c r="T5" s="7">
        <f ca="1">OFFSET(A1,71,15)</f>
        <v>23521.593407899989</v>
      </c>
    </row>
    <row r="6" spans="1:20" x14ac:dyDescent="0.2">
      <c r="A6" s="7">
        <v>4</v>
      </c>
      <c r="B6" s="7">
        <v>771.87530000000004</v>
      </c>
      <c r="C6" s="7">
        <v>2583.1080000000002</v>
      </c>
      <c r="D6" s="7">
        <v>8896.4879999999994</v>
      </c>
      <c r="E6" s="7">
        <v>49345.38</v>
      </c>
      <c r="F6" s="7">
        <v>10311.719999999999</v>
      </c>
      <c r="G6" s="7">
        <v>1557.154</v>
      </c>
      <c r="H6" s="7">
        <v>5092.2190000000001</v>
      </c>
      <c r="I6" s="7">
        <v>638.69460000000004</v>
      </c>
      <c r="J6" s="7">
        <v>2526.1280000000002</v>
      </c>
      <c r="K6" s="7">
        <v>138.13740000000001</v>
      </c>
      <c r="L6" s="7">
        <v>133.53389999999999</v>
      </c>
      <c r="M6" s="7">
        <v>188.053</v>
      </c>
      <c r="N6" s="7">
        <v>1.934968</v>
      </c>
      <c r="O6" s="7">
        <v>23.49004</v>
      </c>
      <c r="P6" s="7">
        <f ca="1">SUM(OFFSET($A$1,5,1,1,14))</f>
        <v>82207.916207999995</v>
      </c>
      <c r="Q6" s="7">
        <f ca="1">SUM(OFFSET($A$1,5,1,1,12))</f>
        <v>82182.491199999989</v>
      </c>
      <c r="R6" s="7" t="s">
        <v>94</v>
      </c>
      <c r="S6" s="7">
        <f ca="1">OFFSET(A1,88,15)</f>
        <v>27337.420913800004</v>
      </c>
      <c r="T6" s="7">
        <f ca="1">OFFSET(A1,89,15)</f>
        <v>27320.554535000014</v>
      </c>
    </row>
    <row r="7" spans="1:20" x14ac:dyDescent="0.2">
      <c r="A7" s="7">
        <v>5</v>
      </c>
      <c r="B7" s="7">
        <v>355.0951</v>
      </c>
      <c r="C7" s="7">
        <v>1915.519</v>
      </c>
      <c r="D7" s="7">
        <v>2739.172</v>
      </c>
      <c r="E7" s="7">
        <v>8206.1949999999997</v>
      </c>
      <c r="F7" s="7">
        <v>26813.200000000001</v>
      </c>
      <c r="G7" s="7">
        <v>5105.7780000000002</v>
      </c>
      <c r="H7" s="7">
        <v>2083.6509999999998</v>
      </c>
      <c r="I7" s="7">
        <v>696.12149999999997</v>
      </c>
      <c r="J7" s="7">
        <v>4244.0529999999999</v>
      </c>
      <c r="K7" s="7">
        <v>241.33179999999999</v>
      </c>
      <c r="L7" s="7">
        <v>633.4</v>
      </c>
      <c r="M7" s="7">
        <v>840.45669999999996</v>
      </c>
      <c r="N7" s="7">
        <v>4.1816719999999998</v>
      </c>
      <c r="O7" s="7">
        <v>109.86660000000001</v>
      </c>
      <c r="P7" s="7">
        <f ca="1">SUM(OFFSET($A$1,6,1,1,14))</f>
        <v>53988.021372000003</v>
      </c>
      <c r="Q7" s="7">
        <f ca="1">SUM(OFFSET($A$1,6,1,1,12))</f>
        <v>53873.973100000003</v>
      </c>
      <c r="R7" s="7" t="s">
        <v>96</v>
      </c>
      <c r="S7" s="7">
        <f ca="1">OFFSET(A1,106,15)</f>
        <v>35550.922906200001</v>
      </c>
      <c r="T7" s="7">
        <f ca="1">OFFSET(A1,107,15)</f>
        <v>34598.066318400008</v>
      </c>
    </row>
    <row r="8" spans="1:20" x14ac:dyDescent="0.2">
      <c r="A8" s="7">
        <v>6</v>
      </c>
      <c r="B8" s="7">
        <v>44.188110000000002</v>
      </c>
      <c r="C8" s="7">
        <v>523.44960000000003</v>
      </c>
      <c r="D8" s="7">
        <v>768.67600000000004</v>
      </c>
      <c r="E8" s="7">
        <v>1582.8109999999999</v>
      </c>
      <c r="F8" s="7">
        <v>4124.3919999999998</v>
      </c>
      <c r="G8" s="7">
        <v>14904.79</v>
      </c>
      <c r="H8" s="7">
        <v>147.20330000000001</v>
      </c>
      <c r="I8" s="7">
        <v>156.2824</v>
      </c>
      <c r="J8" s="7">
        <v>1826.248</v>
      </c>
      <c r="K8" s="7">
        <v>190.3252</v>
      </c>
      <c r="L8" s="7">
        <v>1418.0329999999999</v>
      </c>
      <c r="M8" s="7">
        <v>533.70640000000003</v>
      </c>
      <c r="N8" s="7">
        <v>31.842079999999999</v>
      </c>
      <c r="O8" s="7">
        <v>107.333</v>
      </c>
      <c r="P8" s="7">
        <f ca="1">SUM(OFFSET($A$1,7,1,1,14))</f>
        <v>26359.280089999997</v>
      </c>
      <c r="Q8" s="7">
        <f ca="1">SUM(OFFSET($A$1,7,1,1,12))</f>
        <v>26220.105009999999</v>
      </c>
      <c r="R8" s="7" t="s">
        <v>98</v>
      </c>
      <c r="S8" s="7">
        <f ca="1">OFFSET(A1,124,15)</f>
        <v>5369.7238039999984</v>
      </c>
      <c r="T8" s="7">
        <f ca="1">OFFSET(A1,125,15)</f>
        <v>5325.9238494000019</v>
      </c>
    </row>
    <row r="9" spans="1:20" x14ac:dyDescent="0.2">
      <c r="A9" s="7">
        <v>7</v>
      </c>
      <c r="B9" s="7">
        <v>116.23739999999999</v>
      </c>
      <c r="C9" s="7">
        <v>279.0496</v>
      </c>
      <c r="D9" s="7">
        <v>1404.482</v>
      </c>
      <c r="E9" s="7">
        <v>6725.18</v>
      </c>
      <c r="F9" s="7">
        <v>2103.232</v>
      </c>
      <c r="G9" s="7">
        <v>368.61579999999998</v>
      </c>
      <c r="H9" s="7">
        <v>24567.95</v>
      </c>
      <c r="I9" s="7">
        <v>1201.598</v>
      </c>
      <c r="J9" s="7">
        <v>1576.258</v>
      </c>
      <c r="K9" s="7">
        <v>326.36630000000002</v>
      </c>
      <c r="L9" s="7">
        <v>33.47383</v>
      </c>
      <c r="M9" s="7">
        <v>245.0155</v>
      </c>
      <c r="N9" s="7">
        <v>0.22133230000000001</v>
      </c>
      <c r="O9" s="7">
        <v>7.5219290000000001</v>
      </c>
      <c r="P9" s="7">
        <f ca="1">SUM(OFFSET($A$1,8,1,1,14))</f>
        <v>38955.201691300012</v>
      </c>
      <c r="Q9" s="7">
        <f ca="1">SUM(OFFSET($A$1,8,1,1,12))</f>
        <v>38947.458430000006</v>
      </c>
      <c r="R9" s="7" t="s">
        <v>100</v>
      </c>
      <c r="S9" s="7">
        <f ca="1">OFFSET(A1,142,15)</f>
        <v>0</v>
      </c>
      <c r="T9" s="7">
        <f ca="1">OFFSET(A1,143,15)</f>
        <v>0</v>
      </c>
    </row>
    <row r="10" spans="1:20" x14ac:dyDescent="0.2">
      <c r="A10" s="7">
        <v>8</v>
      </c>
      <c r="B10" s="7">
        <v>26.427350000000001</v>
      </c>
      <c r="C10" s="7">
        <v>84.451350000000005</v>
      </c>
      <c r="D10" s="7">
        <v>397.34500000000003</v>
      </c>
      <c r="E10" s="7">
        <v>1022.795</v>
      </c>
      <c r="F10" s="7">
        <v>412.25979999999998</v>
      </c>
      <c r="G10" s="7">
        <v>78.721509999999995</v>
      </c>
      <c r="H10" s="7">
        <v>1769.92</v>
      </c>
      <c r="I10" s="7">
        <v>4295.9880000000003</v>
      </c>
      <c r="J10" s="7">
        <v>1585.095</v>
      </c>
      <c r="K10" s="7">
        <v>598.79070000000002</v>
      </c>
      <c r="L10" s="7">
        <v>17.757639999999999</v>
      </c>
      <c r="M10" s="7">
        <v>382.14019999999999</v>
      </c>
      <c r="N10" s="7">
        <v>0.2759877</v>
      </c>
      <c r="O10" s="7">
        <v>17.02262</v>
      </c>
      <c r="P10" s="7">
        <f ca="1">SUM(OFFSET($A$1,9,1,1,14))</f>
        <v>10688.9901577</v>
      </c>
      <c r="Q10" s="7">
        <f ca="1">SUM(OFFSET($A$1,9,1,1,12))</f>
        <v>10671.69155</v>
      </c>
    </row>
    <row r="11" spans="1:20" x14ac:dyDescent="0.2">
      <c r="A11" s="7">
        <v>9</v>
      </c>
      <c r="B11" s="7">
        <v>49.102710000000002</v>
      </c>
      <c r="C11" s="7">
        <v>276.70319999999998</v>
      </c>
      <c r="D11" s="7">
        <v>478.17090000000002</v>
      </c>
      <c r="E11" s="7">
        <v>1965.875</v>
      </c>
      <c r="F11" s="7">
        <v>4484.3140000000003</v>
      </c>
      <c r="G11" s="7">
        <v>2001.364</v>
      </c>
      <c r="H11" s="7">
        <v>1807.546</v>
      </c>
      <c r="I11" s="7">
        <v>1409.3530000000001</v>
      </c>
      <c r="J11" s="7">
        <v>27484.42</v>
      </c>
      <c r="K11" s="7">
        <v>2227.6909999999998</v>
      </c>
      <c r="L11" s="7">
        <v>472.52640000000002</v>
      </c>
      <c r="M11" s="7">
        <v>5411.8779999999997</v>
      </c>
      <c r="N11" s="7">
        <v>26.877669999999998</v>
      </c>
      <c r="O11" s="7">
        <v>707.57420000000002</v>
      </c>
      <c r="P11" s="7">
        <f ca="1">SUM(OFFSET($A$1,10,1,1,14))</f>
        <v>48803.396079999999</v>
      </c>
      <c r="Q11" s="7">
        <f ca="1">SUM(OFFSET($A$1,10,1,1,12))</f>
        <v>48068.944209999994</v>
      </c>
    </row>
    <row r="12" spans="1:20" x14ac:dyDescent="0.2">
      <c r="A12" s="7">
        <v>10</v>
      </c>
      <c r="B12" s="7">
        <v>3.2136170000000002</v>
      </c>
      <c r="C12" s="7">
        <v>17.034510000000001</v>
      </c>
      <c r="D12" s="7">
        <v>59.323979999999999</v>
      </c>
      <c r="E12" s="7">
        <v>263.83909999999997</v>
      </c>
      <c r="F12" s="7">
        <v>182.73740000000001</v>
      </c>
      <c r="G12" s="7">
        <v>118.5536</v>
      </c>
      <c r="H12" s="7">
        <v>301.82659999999998</v>
      </c>
      <c r="I12" s="7">
        <v>240.6765</v>
      </c>
      <c r="J12" s="7">
        <v>2874.65</v>
      </c>
      <c r="K12" s="7">
        <v>5653.9459999999999</v>
      </c>
      <c r="L12" s="7">
        <v>85.239670000000004</v>
      </c>
      <c r="M12" s="7">
        <v>1020.1849999999999</v>
      </c>
      <c r="N12" s="7">
        <v>1.662423</v>
      </c>
      <c r="O12" s="7">
        <v>110.1139</v>
      </c>
      <c r="P12" s="7">
        <f ca="1">SUM(OFFSET($A$1,11,1,1,14))</f>
        <v>10933.0023</v>
      </c>
      <c r="Q12" s="7">
        <f ca="1">SUM(OFFSET($A$1,11,1,1,12))</f>
        <v>10821.225977</v>
      </c>
    </row>
    <row r="13" spans="1:20" x14ac:dyDescent="0.2">
      <c r="A13" s="7">
        <v>11</v>
      </c>
      <c r="B13" s="7">
        <v>2.9068679999999998</v>
      </c>
      <c r="C13" s="7">
        <v>36.46996</v>
      </c>
      <c r="D13" s="7">
        <v>27.15099</v>
      </c>
      <c r="E13" s="7">
        <v>116.4699</v>
      </c>
      <c r="F13" s="7">
        <v>474.93079999999998</v>
      </c>
      <c r="G13" s="7">
        <v>1334.8530000000001</v>
      </c>
      <c r="H13" s="7">
        <v>24.960789999999999</v>
      </c>
      <c r="I13" s="7">
        <v>19.458629999999999</v>
      </c>
      <c r="J13" s="7">
        <v>408.69740000000002</v>
      </c>
      <c r="K13" s="7">
        <v>63.3551</v>
      </c>
      <c r="L13" s="7">
        <v>6063.7309999999998</v>
      </c>
      <c r="M13" s="7">
        <v>559.76610000000005</v>
      </c>
      <c r="N13" s="7">
        <v>259.8338</v>
      </c>
      <c r="O13" s="7">
        <v>348.65969999999999</v>
      </c>
      <c r="P13" s="7">
        <f ca="1">SUM(OFFSET($A$1,12,1,1,14))</f>
        <v>9741.2440380000007</v>
      </c>
      <c r="Q13" s="7">
        <f ca="1">SUM(OFFSET($A$1,12,1,1,12))</f>
        <v>9132.7505380000002</v>
      </c>
    </row>
    <row r="14" spans="1:20" x14ac:dyDescent="0.2">
      <c r="A14" s="7">
        <v>12</v>
      </c>
      <c r="B14" s="7">
        <v>3.6032579999999998</v>
      </c>
      <c r="C14" s="7">
        <v>45.287939999999999</v>
      </c>
      <c r="D14" s="7">
        <v>36.480260000000001</v>
      </c>
      <c r="E14" s="7">
        <v>163.69990000000001</v>
      </c>
      <c r="F14" s="7">
        <v>631.78020000000004</v>
      </c>
      <c r="G14" s="7">
        <v>694.48530000000005</v>
      </c>
      <c r="H14" s="7">
        <v>134.75129999999999</v>
      </c>
      <c r="I14" s="7">
        <v>184.25540000000001</v>
      </c>
      <c r="J14" s="7">
        <v>3672.45</v>
      </c>
      <c r="K14" s="7">
        <v>1192.4059999999999</v>
      </c>
      <c r="L14" s="7">
        <v>620.28660000000002</v>
      </c>
      <c r="M14" s="7">
        <v>14241.82</v>
      </c>
      <c r="N14" s="7">
        <v>129.0547</v>
      </c>
      <c r="O14" s="7">
        <v>3241.1280000000002</v>
      </c>
      <c r="P14" s="7">
        <f ca="1">SUM(OFFSET($A$1,13,1,1,14))</f>
        <v>24991.488858000001</v>
      </c>
      <c r="Q14" s="7">
        <f ca="1">SUM(OFFSET($A$1,13,1,1,12))</f>
        <v>21621.306157999999</v>
      </c>
    </row>
    <row r="15" spans="1:20" x14ac:dyDescent="0.2">
      <c r="A15" s="7">
        <v>13</v>
      </c>
      <c r="B15" s="7">
        <v>5.3480100000000003E-2</v>
      </c>
      <c r="C15" s="7">
        <v>0.3004619</v>
      </c>
      <c r="D15" s="7">
        <v>0.53352920000000004</v>
      </c>
      <c r="E15" s="7">
        <v>2.165791</v>
      </c>
      <c r="F15" s="7">
        <v>9.7916480000000004</v>
      </c>
      <c r="G15" s="7">
        <v>49.814390000000003</v>
      </c>
      <c r="H15" s="7">
        <v>0.2146248</v>
      </c>
      <c r="I15" s="7">
        <v>0.2360949</v>
      </c>
      <c r="J15" s="7">
        <v>14.08792</v>
      </c>
      <c r="K15" s="7">
        <v>1.4752320000000001</v>
      </c>
      <c r="L15" s="7">
        <v>282.10849999999999</v>
      </c>
      <c r="M15" s="7">
        <v>143.49359999999999</v>
      </c>
      <c r="N15" s="7">
        <v>2378.7689999999998</v>
      </c>
      <c r="O15" s="7">
        <v>1082.1510000000001</v>
      </c>
      <c r="P15" s="7">
        <f ca="1">SUM(OFFSET($A$1,14,1,1,14))</f>
        <v>3965.1952719000001</v>
      </c>
      <c r="Q15" s="7">
        <f ca="1">SUM(OFFSET($A$1,14,1,1,12))</f>
        <v>504.27527190000001</v>
      </c>
    </row>
    <row r="16" spans="1:20" x14ac:dyDescent="0.2">
      <c r="A16" s="7">
        <v>14</v>
      </c>
      <c r="B16" s="7">
        <v>1.044961</v>
      </c>
      <c r="C16" s="7">
        <v>5.8803159999999997</v>
      </c>
      <c r="D16" s="7">
        <v>4.7841839999999998</v>
      </c>
      <c r="E16" s="7">
        <v>24.507549999999998</v>
      </c>
      <c r="F16" s="7">
        <v>108.387</v>
      </c>
      <c r="G16" s="7">
        <v>198.46940000000001</v>
      </c>
      <c r="H16" s="7">
        <v>6.6837309999999999</v>
      </c>
      <c r="I16" s="7">
        <v>11.13984</v>
      </c>
      <c r="J16" s="7">
        <v>719.47990000000004</v>
      </c>
      <c r="K16" s="7">
        <v>111.9838</v>
      </c>
      <c r="L16" s="7">
        <v>382.19589999999999</v>
      </c>
      <c r="M16" s="7">
        <v>2671.317</v>
      </c>
      <c r="N16" s="7">
        <v>1513.442</v>
      </c>
      <c r="O16" s="7">
        <v>34712.42</v>
      </c>
      <c r="P16" s="7">
        <f ca="1">SUM(OFFSET($A$1,15,1,1,14))</f>
        <v>40471.735582000001</v>
      </c>
      <c r="Q16" s="7">
        <f ca="1">SUM(OFFSET($A$1,15,1,1,12))</f>
        <v>4245.8735820000002</v>
      </c>
    </row>
    <row r="17" spans="1:17" x14ac:dyDescent="0.2">
      <c r="A17" s="7" t="s">
        <v>43</v>
      </c>
      <c r="B17" s="7">
        <f ca="1">SUM(OFFSET($A$1,2,1,14,1))</f>
        <v>7405.8328541000001</v>
      </c>
      <c r="C17" s="7">
        <f ca="1">SUM(OFFSET($A$1,2,2,14,1))</f>
        <v>21877.080937899991</v>
      </c>
      <c r="D17" s="7">
        <f ca="1">SUM(OFFSET($A$1,2,3,14,1))</f>
        <v>22017.4436432</v>
      </c>
      <c r="E17" s="7">
        <f ca="1">SUM(OFFSET($A$1,2,4,14,1))</f>
        <v>82387.524940999996</v>
      </c>
      <c r="F17" s="7">
        <f ca="1">SUM(OFFSET($A$1,2,5,14,1))</f>
        <v>53830.615847999994</v>
      </c>
      <c r="G17" s="7">
        <f ca="1">SUM(OFFSET($A$1,2,6,14,1))</f>
        <v>27279.681329999999</v>
      </c>
      <c r="H17" s="7">
        <f ca="1">SUM(OFFSET($A$1,2,7,14,1))</f>
        <v>37192.817545799997</v>
      </c>
      <c r="I17" s="7">
        <f ca="1">SUM(OFFSET($A$1,2,8,14,1))</f>
        <v>9054.6650148999997</v>
      </c>
      <c r="J17" s="7">
        <f ca="1">SUM(OFFSET($A$1,2,9,14,1))</f>
        <v>47438.713309999992</v>
      </c>
      <c r="K17" s="7">
        <f ca="1">SUM(OFFSET($A$1,2,10,14,1))</f>
        <v>10765.921184000001</v>
      </c>
      <c r="L17" s="7">
        <f ca="1">SUM(OFFSET($A$1,2,11,14,1))</f>
        <v>10197.814775999999</v>
      </c>
      <c r="M17" s="7">
        <f ca="1">SUM(OFFSET($A$1,2,12,14,1))</f>
        <v>26341.229632999999</v>
      </c>
      <c r="N17" s="7">
        <f ca="1">SUM(OFFSET($A$1,2,13,14,1))</f>
        <v>4348.6996373000002</v>
      </c>
      <c r="O17" s="7">
        <f ca="1">SUM(OFFSET($A$1,2,14,14,1))</f>
        <v>40475.677718999999</v>
      </c>
      <c r="P17" s="7">
        <f ca="1">SUM(OFFSET($A$1,16,1,1,14))</f>
        <v>400613.71837419993</v>
      </c>
      <c r="Q17" s="7">
        <f ca="1">SUM(OFFSET($A$1,16,1,1,12))</f>
        <v>355789.34101789992</v>
      </c>
    </row>
    <row r="18" spans="1:17" x14ac:dyDescent="0.2">
      <c r="O18" s="12" t="s">
        <v>59</v>
      </c>
      <c r="P18" s="7">
        <f ca="1">SUM(OFFSET($B$3,0,0,12,12))</f>
        <v>351039.19216399989</v>
      </c>
    </row>
    <row r="19" spans="1:17" x14ac:dyDescent="0.2">
      <c r="A19" s="7" t="s">
        <v>89</v>
      </c>
    </row>
    <row r="20" spans="1:17" x14ac:dyDescent="0.2">
      <c r="B20" s="7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 t="s">
        <v>43</v>
      </c>
      <c r="Q20" s="7" t="s">
        <v>61</v>
      </c>
    </row>
    <row r="21" spans="1:17" x14ac:dyDescent="0.2">
      <c r="A21" s="7">
        <v>1</v>
      </c>
      <c r="B21" s="7">
        <v>764.35640000000001</v>
      </c>
      <c r="C21" s="7">
        <v>530.90689999999995</v>
      </c>
      <c r="D21" s="7">
        <v>248.89269999999999</v>
      </c>
      <c r="E21" s="7">
        <v>196.47720000000001</v>
      </c>
      <c r="F21" s="7">
        <v>74.964029999999994</v>
      </c>
      <c r="G21" s="7">
        <v>21.896439999999998</v>
      </c>
      <c r="H21" s="7">
        <v>29.69557</v>
      </c>
      <c r="I21" s="7">
        <v>3.2327729999999999</v>
      </c>
      <c r="J21" s="7">
        <v>4.7834750000000001</v>
      </c>
      <c r="K21" s="7">
        <v>0.63668880000000005</v>
      </c>
      <c r="L21" s="7">
        <v>0.81495030000000002</v>
      </c>
      <c r="M21" s="7">
        <v>1.1708909999999999</v>
      </c>
      <c r="N21" s="7">
        <v>1.43392E-2</v>
      </c>
      <c r="O21" s="7">
        <v>0.13537830000000001</v>
      </c>
      <c r="P21" s="7">
        <f ca="1">SUM(OFFSET($A$19,2,1,1,14))</f>
        <v>1877.9777356</v>
      </c>
      <c r="Q21" s="7">
        <f ca="1">SUM(OFFSET($A$19,2,1,1,12))</f>
        <v>1877.8280181</v>
      </c>
    </row>
    <row r="22" spans="1:17" x14ac:dyDescent="0.2">
      <c r="A22" s="7">
        <v>2</v>
      </c>
      <c r="B22" s="7">
        <v>513.79020000000003</v>
      </c>
      <c r="C22" s="7">
        <v>3083.7710000000002</v>
      </c>
      <c r="D22" s="7">
        <v>472.92899999999997</v>
      </c>
      <c r="E22" s="7">
        <v>655.60640000000001</v>
      </c>
      <c r="F22" s="7">
        <v>515.54880000000003</v>
      </c>
      <c r="G22" s="7">
        <v>151.02670000000001</v>
      </c>
      <c r="H22" s="7">
        <v>49.553130000000003</v>
      </c>
      <c r="I22" s="7">
        <v>19.71021</v>
      </c>
      <c r="J22" s="7">
        <v>74.575540000000004</v>
      </c>
      <c r="K22" s="7">
        <v>1.974235</v>
      </c>
      <c r="L22" s="7">
        <v>10.605230000000001</v>
      </c>
      <c r="M22" s="7">
        <v>24.515910000000002</v>
      </c>
      <c r="N22" s="7">
        <v>0.10122490000000001</v>
      </c>
      <c r="O22" s="7">
        <v>2.139758</v>
      </c>
      <c r="P22" s="7">
        <f ca="1">SUM(OFFSET($A$19,3,1,1,14))</f>
        <v>5575.8473378999997</v>
      </c>
      <c r="Q22" s="7">
        <f ca="1">SUM(OFFSET($A$19,3,1,1,12))</f>
        <v>5573.6063549999999</v>
      </c>
    </row>
    <row r="23" spans="1:17" x14ac:dyDescent="0.2">
      <c r="A23" s="7">
        <v>3</v>
      </c>
      <c r="B23" s="7">
        <v>434.49509999999998</v>
      </c>
      <c r="C23" s="7">
        <v>699.70630000000006</v>
      </c>
      <c r="D23" s="7">
        <v>2761.3490000000002</v>
      </c>
      <c r="E23" s="7">
        <v>4927.2269999999999</v>
      </c>
      <c r="F23" s="7">
        <v>1199.471</v>
      </c>
      <c r="G23" s="7">
        <v>191.36760000000001</v>
      </c>
      <c r="H23" s="7">
        <v>616.98209999999995</v>
      </c>
      <c r="I23" s="7">
        <v>92.327889999999996</v>
      </c>
      <c r="J23" s="7">
        <v>186.37450000000001</v>
      </c>
      <c r="K23" s="7">
        <v>11.533580000000001</v>
      </c>
      <c r="L23" s="7">
        <v>18.889479999999999</v>
      </c>
      <c r="M23" s="7">
        <v>26.532910000000001</v>
      </c>
      <c r="N23" s="7">
        <v>0.39878560000000002</v>
      </c>
      <c r="O23" s="7">
        <v>3.7114989999999999</v>
      </c>
      <c r="P23" s="7">
        <f ca="1">SUM(OFFSET($A$19,4,1,1,14))</f>
        <v>11170.366744599996</v>
      </c>
      <c r="Q23" s="7">
        <f ca="1">SUM(OFFSET($A$19,4,1,1,12))</f>
        <v>11166.256459999997</v>
      </c>
    </row>
    <row r="24" spans="1:17" x14ac:dyDescent="0.2">
      <c r="A24" s="7">
        <v>4</v>
      </c>
      <c r="B24" s="7">
        <v>208.22970000000001</v>
      </c>
      <c r="C24" s="7">
        <v>674.93430000000001</v>
      </c>
      <c r="D24" s="7">
        <v>2967.0450000000001</v>
      </c>
      <c r="E24" s="7">
        <v>11672.81</v>
      </c>
      <c r="F24" s="7">
        <v>2483.877</v>
      </c>
      <c r="G24" s="7">
        <v>429.27350000000001</v>
      </c>
      <c r="H24" s="7">
        <v>1241.816</v>
      </c>
      <c r="I24" s="7">
        <v>173.80680000000001</v>
      </c>
      <c r="J24" s="7">
        <v>712.66139999999996</v>
      </c>
      <c r="K24" s="7">
        <v>43.828139999999998</v>
      </c>
      <c r="L24" s="7">
        <v>43.476410000000001</v>
      </c>
      <c r="M24" s="7">
        <v>63.049419999999998</v>
      </c>
      <c r="N24" s="7">
        <v>0.8072028</v>
      </c>
      <c r="O24" s="7">
        <v>9.8669949999999993</v>
      </c>
      <c r="P24" s="7">
        <f ca="1">SUM(OFFSET($A$19,5,1,1,14))</f>
        <v>20725.481867799997</v>
      </c>
      <c r="Q24" s="7">
        <f ca="1">SUM(OFFSET($A$19,5,1,1,12))</f>
        <v>20714.807669999998</v>
      </c>
    </row>
    <row r="25" spans="1:17" x14ac:dyDescent="0.2">
      <c r="A25" s="7">
        <v>5</v>
      </c>
      <c r="B25" s="7">
        <v>105.4072</v>
      </c>
      <c r="C25" s="7">
        <v>532.83609999999999</v>
      </c>
      <c r="D25" s="7">
        <v>1011.454</v>
      </c>
      <c r="E25" s="7">
        <v>1955.981</v>
      </c>
      <c r="F25" s="7">
        <v>6846.6859999999997</v>
      </c>
      <c r="G25" s="7">
        <v>1345.163</v>
      </c>
      <c r="H25" s="7">
        <v>589.73850000000004</v>
      </c>
      <c r="I25" s="7">
        <v>188.36320000000001</v>
      </c>
      <c r="J25" s="7">
        <v>1152.7360000000001</v>
      </c>
      <c r="K25" s="7">
        <v>76.932699999999997</v>
      </c>
      <c r="L25" s="7">
        <v>196.0104</v>
      </c>
      <c r="M25" s="7">
        <v>267.14</v>
      </c>
      <c r="N25" s="7">
        <v>1.6782729999999999</v>
      </c>
      <c r="O25" s="7">
        <v>44.272219999999997</v>
      </c>
      <c r="P25" s="7">
        <f ca="1">SUM(OFFSET($A$19,6,1,1,14))</f>
        <v>14314.398592999998</v>
      </c>
      <c r="Q25" s="7">
        <f ca="1">SUM(OFFSET($A$19,6,1,1,12))</f>
        <v>14268.448099999998</v>
      </c>
    </row>
    <row r="26" spans="1:17" x14ac:dyDescent="0.2">
      <c r="A26" s="7">
        <v>6</v>
      </c>
      <c r="B26" s="7">
        <v>13.313980000000001</v>
      </c>
      <c r="C26" s="7">
        <v>147.10839999999999</v>
      </c>
      <c r="D26" s="7">
        <v>296.62860000000001</v>
      </c>
      <c r="E26" s="7">
        <v>384.79230000000001</v>
      </c>
      <c r="F26" s="7">
        <v>1027.1600000000001</v>
      </c>
      <c r="G26" s="7">
        <v>3518.3539999999998</v>
      </c>
      <c r="H26" s="7">
        <v>42.201149999999998</v>
      </c>
      <c r="I26" s="7">
        <v>42.685020000000002</v>
      </c>
      <c r="J26" s="7">
        <v>477.48950000000002</v>
      </c>
      <c r="K26" s="7">
        <v>56.207009999999997</v>
      </c>
      <c r="L26" s="7">
        <v>365.10939999999999</v>
      </c>
      <c r="M26" s="7">
        <v>154.38120000000001</v>
      </c>
      <c r="N26" s="7">
        <v>10.316520000000001</v>
      </c>
      <c r="O26" s="7">
        <v>37.847119999999997</v>
      </c>
      <c r="P26" s="7">
        <f ca="1">SUM(OFFSET($A$19,7,1,1,14))</f>
        <v>6573.5942000000005</v>
      </c>
      <c r="Q26" s="7">
        <f ca="1">SUM(OFFSET($A$19,7,1,1,12))</f>
        <v>6525.4305599999998</v>
      </c>
    </row>
    <row r="27" spans="1:17" x14ac:dyDescent="0.2">
      <c r="A27" s="7">
        <v>7</v>
      </c>
      <c r="B27" s="7">
        <v>32.381749999999997</v>
      </c>
      <c r="C27" s="7">
        <v>77.944050000000004</v>
      </c>
      <c r="D27" s="7">
        <v>503.81420000000003</v>
      </c>
      <c r="E27" s="7">
        <v>1495.4929999999999</v>
      </c>
      <c r="F27" s="7">
        <v>547.2894</v>
      </c>
      <c r="G27" s="7">
        <v>106.1215</v>
      </c>
      <c r="H27" s="7">
        <v>5788.2520000000004</v>
      </c>
      <c r="I27" s="7">
        <v>307.4905</v>
      </c>
      <c r="J27" s="7">
        <v>439.03859999999997</v>
      </c>
      <c r="K27" s="7">
        <v>95.259479999999996</v>
      </c>
      <c r="L27" s="7">
        <v>10.99478</v>
      </c>
      <c r="M27" s="7">
        <v>77.881739999999994</v>
      </c>
      <c r="N27" s="7">
        <v>9.1179899999999994E-2</v>
      </c>
      <c r="O27" s="7">
        <v>3.0080339999999999</v>
      </c>
      <c r="P27" s="7">
        <f ca="1">SUM(OFFSET($A$19,8,1,1,14))</f>
        <v>9485.0602139000039</v>
      </c>
      <c r="Q27" s="7">
        <f ca="1">SUM(OFFSET($A$19,8,1,1,12))</f>
        <v>9481.961000000003</v>
      </c>
    </row>
    <row r="28" spans="1:17" x14ac:dyDescent="0.2">
      <c r="A28" s="7">
        <v>8</v>
      </c>
      <c r="B28" s="7">
        <v>7.8633410000000001</v>
      </c>
      <c r="C28" s="7">
        <v>24.972020000000001</v>
      </c>
      <c r="D28" s="7">
        <v>153.38990000000001</v>
      </c>
      <c r="E28" s="7">
        <v>241.94139999999999</v>
      </c>
      <c r="F28" s="7">
        <v>112.85420000000001</v>
      </c>
      <c r="G28" s="7">
        <v>23.109909999999999</v>
      </c>
      <c r="H28" s="7">
        <v>441.73610000000002</v>
      </c>
      <c r="I28" s="7">
        <v>975.84900000000005</v>
      </c>
      <c r="J28" s="7">
        <v>418.76280000000003</v>
      </c>
      <c r="K28" s="7">
        <v>162.62479999999999</v>
      </c>
      <c r="L28" s="7">
        <v>6.1765030000000003</v>
      </c>
      <c r="M28" s="7">
        <v>112.03019999999999</v>
      </c>
      <c r="N28" s="7">
        <v>0.10914509999999999</v>
      </c>
      <c r="O28" s="7">
        <v>6.2914250000000003</v>
      </c>
      <c r="P28" s="7">
        <f ca="1">SUM(OFFSET($A$19,9,1,1,14))</f>
        <v>2687.7107441000003</v>
      </c>
      <c r="Q28" s="7">
        <f ca="1">SUM(OFFSET($A$19,9,1,1,12))</f>
        <v>2681.3101740000002</v>
      </c>
    </row>
    <row r="29" spans="1:17" x14ac:dyDescent="0.2">
      <c r="A29" s="7">
        <v>9</v>
      </c>
      <c r="B29" s="7">
        <v>15.46749</v>
      </c>
      <c r="C29" s="7">
        <v>81.525970000000001</v>
      </c>
      <c r="D29" s="7">
        <v>194.0436</v>
      </c>
      <c r="E29" s="7">
        <v>491.06810000000002</v>
      </c>
      <c r="F29" s="7">
        <v>1132.1379999999999</v>
      </c>
      <c r="G29" s="7">
        <v>511.7801</v>
      </c>
      <c r="H29" s="7">
        <v>487.71390000000002</v>
      </c>
      <c r="I29" s="7">
        <v>351.95409999999998</v>
      </c>
      <c r="J29" s="7">
        <v>6464.54</v>
      </c>
      <c r="K29" s="7">
        <v>556.83860000000004</v>
      </c>
      <c r="L29" s="7">
        <v>136.68010000000001</v>
      </c>
      <c r="M29" s="7">
        <v>1317.847</v>
      </c>
      <c r="N29" s="7">
        <v>8.9212150000000001</v>
      </c>
      <c r="O29" s="7">
        <v>219.62260000000001</v>
      </c>
      <c r="P29" s="7">
        <f ca="1">SUM(OFFSET($A$19,10,1,1,14))</f>
        <v>11970.140775</v>
      </c>
      <c r="Q29" s="7">
        <f ca="1">SUM(OFFSET($A$19,10,1,1,12))</f>
        <v>11741.596959999999</v>
      </c>
    </row>
    <row r="30" spans="1:17" x14ac:dyDescent="0.2">
      <c r="A30" s="7">
        <v>10</v>
      </c>
      <c r="B30" s="7">
        <v>1.1036729999999999</v>
      </c>
      <c r="C30" s="7">
        <v>5.4940530000000001</v>
      </c>
      <c r="D30" s="7">
        <v>26.447179999999999</v>
      </c>
      <c r="E30" s="7">
        <v>71.65822</v>
      </c>
      <c r="F30" s="7">
        <v>50.785730000000001</v>
      </c>
      <c r="G30" s="7">
        <v>33.004109999999997</v>
      </c>
      <c r="H30" s="7">
        <v>86.183710000000005</v>
      </c>
      <c r="I30" s="7">
        <v>64.229990000000001</v>
      </c>
      <c r="J30" s="7">
        <v>705.60209999999995</v>
      </c>
      <c r="K30" s="7">
        <v>1272.702</v>
      </c>
      <c r="L30" s="7">
        <v>27.07067</v>
      </c>
      <c r="M30" s="7">
        <v>260.46039999999999</v>
      </c>
      <c r="N30" s="7">
        <v>0.57069689999999995</v>
      </c>
      <c r="O30" s="7">
        <v>33.714559999999999</v>
      </c>
      <c r="P30" s="7">
        <f ca="1">SUM(OFFSET($A$19,11,1,1,14))</f>
        <v>2639.0270928999998</v>
      </c>
      <c r="Q30" s="7">
        <f ca="1">SUM(OFFSET($A$19,11,1,1,12))</f>
        <v>2604.7418360000001</v>
      </c>
    </row>
    <row r="31" spans="1:17" x14ac:dyDescent="0.2">
      <c r="A31" s="7">
        <v>11</v>
      </c>
      <c r="B31" s="7">
        <v>0.9833752</v>
      </c>
      <c r="C31" s="7">
        <v>11.51052</v>
      </c>
      <c r="D31" s="7">
        <v>11.848739999999999</v>
      </c>
      <c r="E31" s="7">
        <v>31.855720000000002</v>
      </c>
      <c r="F31" s="7">
        <v>132.86869999999999</v>
      </c>
      <c r="G31" s="7">
        <v>332.48849999999999</v>
      </c>
      <c r="H31" s="7">
        <v>7.8992129999999996</v>
      </c>
      <c r="I31" s="7">
        <v>6.0568749999999998</v>
      </c>
      <c r="J31" s="7">
        <v>117.2047</v>
      </c>
      <c r="K31" s="7">
        <v>20.492049999999999</v>
      </c>
      <c r="L31" s="7">
        <v>1403.528</v>
      </c>
      <c r="M31" s="7">
        <v>159.38149999999999</v>
      </c>
      <c r="N31" s="7">
        <v>69.736999999999995</v>
      </c>
      <c r="O31" s="7">
        <v>104.96850000000001</v>
      </c>
      <c r="P31" s="7">
        <f ca="1">SUM(OFFSET($A$19,12,1,1,14))</f>
        <v>2410.8233931999998</v>
      </c>
      <c r="Q31" s="7">
        <f ca="1">SUM(OFFSET($A$19,12,1,1,12))</f>
        <v>2236.1178931999998</v>
      </c>
    </row>
    <row r="32" spans="1:17" x14ac:dyDescent="0.2">
      <c r="A32" s="7">
        <v>12</v>
      </c>
      <c r="B32" s="7">
        <v>1.3006340000000001</v>
      </c>
      <c r="C32" s="7">
        <v>15.26164</v>
      </c>
      <c r="D32" s="7">
        <v>17.036909999999999</v>
      </c>
      <c r="E32" s="7">
        <v>47.790349999999997</v>
      </c>
      <c r="F32" s="7">
        <v>185.8502</v>
      </c>
      <c r="G32" s="7">
        <v>198.69120000000001</v>
      </c>
      <c r="H32" s="7">
        <v>43.768520000000002</v>
      </c>
      <c r="I32" s="7">
        <v>55.075879999999998</v>
      </c>
      <c r="J32" s="7">
        <v>936.98839999999996</v>
      </c>
      <c r="K32" s="7">
        <v>312.81099999999998</v>
      </c>
      <c r="L32" s="7">
        <v>178.98480000000001</v>
      </c>
      <c r="M32" s="7">
        <v>3429.1590000000001</v>
      </c>
      <c r="N32" s="7">
        <v>37.925220000000003</v>
      </c>
      <c r="O32" s="7">
        <v>872.95219999999995</v>
      </c>
      <c r="P32" s="7">
        <f ca="1">SUM(OFFSET($A$19,13,1,1,14))</f>
        <v>6333.5959539999994</v>
      </c>
      <c r="Q32" s="7">
        <f ca="1">SUM(OFFSET($A$19,13,1,1,12))</f>
        <v>5422.7185339999996</v>
      </c>
    </row>
    <row r="33" spans="1:17" x14ac:dyDescent="0.2">
      <c r="A33" s="7">
        <v>13</v>
      </c>
      <c r="B33" s="7">
        <v>2.1867399999999999E-2</v>
      </c>
      <c r="C33" s="7">
        <v>0.11463130000000001</v>
      </c>
      <c r="D33" s="7">
        <v>0.28512310000000002</v>
      </c>
      <c r="E33" s="7">
        <v>0.71758889999999997</v>
      </c>
      <c r="F33" s="7">
        <v>3.32755</v>
      </c>
      <c r="G33" s="7">
        <v>15.13916</v>
      </c>
      <c r="H33" s="7">
        <v>8.2533700000000002E-2</v>
      </c>
      <c r="I33" s="7">
        <v>8.8223700000000002E-2</v>
      </c>
      <c r="J33" s="7">
        <v>4.605664</v>
      </c>
      <c r="K33" s="7">
        <v>0.50934539999999995</v>
      </c>
      <c r="L33" s="7">
        <v>73.937640000000002</v>
      </c>
      <c r="M33" s="7">
        <v>41.254550000000002</v>
      </c>
      <c r="N33" s="7">
        <v>552.36739999999998</v>
      </c>
      <c r="O33" s="7">
        <v>281.03399999999999</v>
      </c>
      <c r="P33" s="7">
        <f ca="1">SUM(OFFSET($A$19,14,1,1,14))</f>
        <v>973.48527749999994</v>
      </c>
      <c r="Q33" s="7">
        <f ca="1">SUM(OFFSET($A$19,14,1,1,12))</f>
        <v>140.0838775</v>
      </c>
    </row>
    <row r="34" spans="1:17" x14ac:dyDescent="0.2">
      <c r="A34" s="7">
        <v>14</v>
      </c>
      <c r="B34" s="7">
        <v>0.43814409999999998</v>
      </c>
      <c r="C34" s="7">
        <v>2.3019069999999999</v>
      </c>
      <c r="D34" s="7">
        <v>2.6281370000000002</v>
      </c>
      <c r="E34" s="7">
        <v>8.2566229999999994</v>
      </c>
      <c r="F34" s="7">
        <v>37.383310000000002</v>
      </c>
      <c r="G34" s="7">
        <v>65.521339999999995</v>
      </c>
      <c r="H34" s="7">
        <v>2.5294479999999999</v>
      </c>
      <c r="I34" s="7">
        <v>3.9166129999999999</v>
      </c>
      <c r="J34" s="7">
        <v>217.7765</v>
      </c>
      <c r="K34" s="7">
        <v>33.597149999999999</v>
      </c>
      <c r="L34" s="7">
        <v>112.6888</v>
      </c>
      <c r="M34" s="7">
        <v>700.92399999999998</v>
      </c>
      <c r="N34" s="7">
        <v>382.06110000000001</v>
      </c>
      <c r="O34" s="7">
        <v>7896.8680000000004</v>
      </c>
      <c r="P34" s="7">
        <f ca="1">SUM(OFFSET($A$19,15,1,1,14))</f>
        <v>9466.8910720999993</v>
      </c>
      <c r="Q34" s="7">
        <f ca="1">SUM(OFFSET($A$19,15,1,1,12))</f>
        <v>1187.9619720999999</v>
      </c>
    </row>
    <row r="35" spans="1:17" x14ac:dyDescent="0.2">
      <c r="A35" s="7" t="s">
        <v>43</v>
      </c>
      <c r="B35" s="7">
        <f ca="1">SUM(OFFSET($A$19,2,1,14,1))</f>
        <v>2099.1528547000003</v>
      </c>
      <c r="C35" s="7">
        <f ca="1">SUM(OFFSET($A$19,2,2,14,1))</f>
        <v>5888.3877912999997</v>
      </c>
      <c r="D35" s="7">
        <f ca="1">SUM(OFFSET($A$19,2,3,14,1))</f>
        <v>8667.7920901000016</v>
      </c>
      <c r="E35" s="7">
        <f ca="1">SUM(OFFSET($A$19,2,4,14,1))</f>
        <v>22181.674901899998</v>
      </c>
      <c r="F35" s="7">
        <f ca="1">SUM(OFFSET($A$19,2,5,14,1))</f>
        <v>14350.203919999996</v>
      </c>
      <c r="G35" s="7">
        <f ca="1">SUM(OFFSET($A$19,2,6,14,1))</f>
        <v>6942.9370600000002</v>
      </c>
      <c r="H35" s="7">
        <f ca="1">SUM(OFFSET($A$19,2,7,14,1))</f>
        <v>9428.1518747000009</v>
      </c>
      <c r="I35" s="7">
        <f ca="1">SUM(OFFSET($A$19,2,8,14,1))</f>
        <v>2284.7870746999997</v>
      </c>
      <c r="J35" s="7">
        <f ca="1">SUM(OFFSET($A$19,2,9,14,1))</f>
        <v>11913.139179000002</v>
      </c>
      <c r="K35" s="7">
        <f ca="1">SUM(OFFSET($A$19,2,10,14,1))</f>
        <v>2645.9467791999996</v>
      </c>
      <c r="L35" s="7">
        <f ca="1">SUM(OFFSET($A$19,2,11,14,1))</f>
        <v>2584.9671633000003</v>
      </c>
      <c r="M35" s="7">
        <f ca="1">SUM(OFFSET($A$19,2,12,14,1))</f>
        <v>6635.7287210000004</v>
      </c>
      <c r="N35" s="7">
        <f ca="1">SUM(OFFSET($A$19,2,13,14,1))</f>
        <v>1065.0993023999999</v>
      </c>
      <c r="O35" s="7">
        <f ca="1">SUM(OFFSET($A$19,2,14,14,1))</f>
        <v>9516.4322893000008</v>
      </c>
      <c r="P35" s="7">
        <f ca="1">SUM(OFFSET($A$19,16,1,1,14))</f>
        <v>106204.40100160001</v>
      </c>
      <c r="Q35" s="7">
        <f ca="1">SUM(OFFSET($A$19,16,1,1,12))</f>
        <v>95622.869409899999</v>
      </c>
    </row>
    <row r="36" spans="1:17" x14ac:dyDescent="0.2">
      <c r="O36" s="12" t="s">
        <v>59</v>
      </c>
      <c r="P36" s="7">
        <f ca="1">SUM(OFFSET($B$21,0,0,12,12))</f>
        <v>94294.823560300036</v>
      </c>
    </row>
    <row r="37" spans="1:17" x14ac:dyDescent="0.2">
      <c r="A37" s="7" t="s">
        <v>91</v>
      </c>
    </row>
    <row r="38" spans="1:17" x14ac:dyDescent="0.2"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7">
        <v>10</v>
      </c>
      <c r="L38" s="7">
        <v>11</v>
      </c>
      <c r="M38" s="7">
        <v>12</v>
      </c>
      <c r="N38" s="7">
        <v>13</v>
      </c>
      <c r="O38" s="7">
        <v>14</v>
      </c>
      <c r="P38" s="7" t="s">
        <v>43</v>
      </c>
      <c r="Q38" s="7" t="s">
        <v>61</v>
      </c>
    </row>
    <row r="39" spans="1:17" x14ac:dyDescent="0.2">
      <c r="A39" s="7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f ca="1">SUM(OFFSET($A$37,2,1,1,14))</f>
        <v>0</v>
      </c>
      <c r="Q39" s="7">
        <f ca="1">SUM(OFFSET($A$37,2,1,1,12))</f>
        <v>0</v>
      </c>
    </row>
    <row r="40" spans="1:17" x14ac:dyDescent="0.2">
      <c r="A40" s="7">
        <v>2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f ca="1">SUM(OFFSET($A$37,3,1,1,14))</f>
        <v>0</v>
      </c>
      <c r="Q40" s="7">
        <f ca="1">SUM(OFFSET($A$37,3,1,1,12))</f>
        <v>0</v>
      </c>
    </row>
    <row r="41" spans="1:17" x14ac:dyDescent="0.2">
      <c r="A41" s="7">
        <v>3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f ca="1">SUM(OFFSET($A$37,4,1,1,14))</f>
        <v>0</v>
      </c>
      <c r="Q41" s="7">
        <f ca="1">SUM(OFFSET($A$37,4,1,1,12))</f>
        <v>0</v>
      </c>
    </row>
    <row r="42" spans="1:17" x14ac:dyDescent="0.2">
      <c r="A42" s="7">
        <v>4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f ca="1">SUM(OFFSET($A$37,5,1,1,14))</f>
        <v>0</v>
      </c>
      <c r="Q42" s="7">
        <f ca="1">SUM(OFFSET($A$37,5,1,1,12))</f>
        <v>0</v>
      </c>
    </row>
    <row r="43" spans="1:17" x14ac:dyDescent="0.2">
      <c r="A43" s="7">
        <v>5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f ca="1">SUM(OFFSET($A$37,6,1,1,14))</f>
        <v>0</v>
      </c>
      <c r="Q43" s="7">
        <f ca="1">SUM(OFFSET($A$37,6,1,1,12))</f>
        <v>0</v>
      </c>
    </row>
    <row r="44" spans="1:17" x14ac:dyDescent="0.2">
      <c r="A44" s="7">
        <v>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f ca="1">SUM(OFFSET($A$37,7,1,1,14))</f>
        <v>0</v>
      </c>
      <c r="Q44" s="7">
        <f ca="1">SUM(OFFSET($A$37,7,1,1,12))</f>
        <v>0</v>
      </c>
    </row>
    <row r="45" spans="1:17" x14ac:dyDescent="0.2">
      <c r="A45" s="7">
        <v>7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f ca="1">SUM(OFFSET($A$37,8,1,1,14))</f>
        <v>0</v>
      </c>
      <c r="Q45" s="7">
        <f ca="1">SUM(OFFSET($A$37,8,1,1,12))</f>
        <v>0</v>
      </c>
    </row>
    <row r="46" spans="1:17" x14ac:dyDescent="0.2">
      <c r="A46" s="7">
        <v>8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f ca="1">SUM(OFFSET($A$37,9,1,1,14))</f>
        <v>0</v>
      </c>
      <c r="Q46" s="7">
        <f ca="1">SUM(OFFSET($A$37,9,1,1,12))</f>
        <v>0</v>
      </c>
    </row>
    <row r="47" spans="1:17" x14ac:dyDescent="0.2">
      <c r="A47" s="7">
        <v>9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f ca="1">SUM(OFFSET($A$37,10,1,1,14))</f>
        <v>0</v>
      </c>
      <c r="Q47" s="7">
        <f ca="1">SUM(OFFSET($A$37,10,1,1,12))</f>
        <v>0</v>
      </c>
    </row>
    <row r="48" spans="1:17" x14ac:dyDescent="0.2">
      <c r="A48" s="7">
        <v>10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f ca="1">SUM(OFFSET($A$37,11,1,1,14))</f>
        <v>0</v>
      </c>
      <c r="Q48" s="7">
        <f ca="1">SUM(OFFSET($A$37,11,1,1,12))</f>
        <v>0</v>
      </c>
    </row>
    <row r="49" spans="1:17" x14ac:dyDescent="0.2">
      <c r="A49" s="7">
        <v>11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f ca="1">SUM(OFFSET($A$37,12,1,1,14))</f>
        <v>0</v>
      </c>
      <c r="Q49" s="7">
        <f ca="1">SUM(OFFSET($A$37,12,1,1,12))</f>
        <v>0</v>
      </c>
    </row>
    <row r="50" spans="1:17" x14ac:dyDescent="0.2">
      <c r="A50" s="7">
        <v>12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f ca="1">SUM(OFFSET($A$37,13,1,1,14))</f>
        <v>0</v>
      </c>
      <c r="Q50" s="7">
        <f ca="1">SUM(OFFSET($A$37,13,1,1,12))</f>
        <v>0</v>
      </c>
    </row>
    <row r="51" spans="1:17" x14ac:dyDescent="0.2">
      <c r="A51" s="7">
        <v>13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f ca="1">SUM(OFFSET($A$37,14,1,1,14))</f>
        <v>0</v>
      </c>
      <c r="Q51" s="7">
        <f ca="1">SUM(OFFSET($A$37,14,1,1,12))</f>
        <v>0</v>
      </c>
    </row>
    <row r="52" spans="1:17" x14ac:dyDescent="0.2">
      <c r="A52" s="7">
        <v>14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f ca="1">SUM(OFFSET($A$37,15,1,1,14))</f>
        <v>0</v>
      </c>
      <c r="Q52" s="7">
        <f ca="1">SUM(OFFSET($A$37,15,1,1,12))</f>
        <v>0</v>
      </c>
    </row>
    <row r="53" spans="1:17" x14ac:dyDescent="0.2">
      <c r="A53" s="7" t="s">
        <v>43</v>
      </c>
      <c r="B53" s="7">
        <f ca="1">SUM(OFFSET($A$37,2,1,14,1))</f>
        <v>0</v>
      </c>
      <c r="C53" s="7">
        <f ca="1">SUM(OFFSET($A$37,2,2,14,1))</f>
        <v>0</v>
      </c>
      <c r="D53" s="7">
        <f ca="1">SUM(OFFSET($A$37,2,3,14,1))</f>
        <v>0</v>
      </c>
      <c r="E53" s="7">
        <f ca="1">SUM(OFFSET($A$37,2,4,14,1))</f>
        <v>0</v>
      </c>
      <c r="F53" s="7">
        <f ca="1">SUM(OFFSET($A$37,2,5,14,1))</f>
        <v>0</v>
      </c>
      <c r="G53" s="7">
        <f ca="1">SUM(OFFSET($A$37,2,6,14,1))</f>
        <v>0</v>
      </c>
      <c r="H53" s="7">
        <f ca="1">SUM(OFFSET($A$37,2,7,14,1))</f>
        <v>0</v>
      </c>
      <c r="I53" s="7">
        <f ca="1">SUM(OFFSET($A$37,2,8,14,1))</f>
        <v>0</v>
      </c>
      <c r="J53" s="7">
        <f ca="1">SUM(OFFSET($A$37,2,9,14,1))</f>
        <v>0</v>
      </c>
      <c r="K53" s="7">
        <f ca="1">SUM(OFFSET($A$37,2,10,14,1))</f>
        <v>0</v>
      </c>
      <c r="L53" s="7">
        <f ca="1">SUM(OFFSET($A$37,2,11,14,1))</f>
        <v>0</v>
      </c>
      <c r="M53" s="7">
        <f ca="1">SUM(OFFSET($A$37,2,12,14,1))</f>
        <v>0</v>
      </c>
      <c r="N53" s="7">
        <f ca="1">SUM(OFFSET($A$37,2,13,14,1))</f>
        <v>0</v>
      </c>
      <c r="O53" s="7">
        <f ca="1">SUM(OFFSET($A$37,2,14,14,1))</f>
        <v>0</v>
      </c>
      <c r="P53" s="7">
        <f ca="1">SUM(OFFSET($A$37,16,1,1,14))</f>
        <v>0</v>
      </c>
      <c r="Q53" s="7">
        <f ca="1">SUM(OFFSET($A$37,16,1,1,12))</f>
        <v>0</v>
      </c>
    </row>
    <row r="54" spans="1:17" x14ac:dyDescent="0.2">
      <c r="O54" s="12" t="s">
        <v>59</v>
      </c>
      <c r="P54" s="7">
        <f ca="1">SUM(OFFSET($B$39,0,0,12,12))</f>
        <v>0</v>
      </c>
    </row>
    <row r="55" spans="1:17" x14ac:dyDescent="0.2">
      <c r="A55" s="7" t="s">
        <v>93</v>
      </c>
    </row>
    <row r="56" spans="1:17" x14ac:dyDescent="0.2">
      <c r="B56" s="7">
        <v>1</v>
      </c>
      <c r="C56" s="7">
        <v>2</v>
      </c>
      <c r="D56" s="7">
        <v>3</v>
      </c>
      <c r="E56" s="7">
        <v>4</v>
      </c>
      <c r="F56" s="7">
        <v>5</v>
      </c>
      <c r="G56" s="7">
        <v>6</v>
      </c>
      <c r="H56" s="7">
        <v>7</v>
      </c>
      <c r="I56" s="7">
        <v>8</v>
      </c>
      <c r="J56" s="7">
        <v>9</v>
      </c>
      <c r="K56" s="7">
        <v>10</v>
      </c>
      <c r="L56" s="7">
        <v>11</v>
      </c>
      <c r="M56" s="7">
        <v>12</v>
      </c>
      <c r="N56" s="7">
        <v>13</v>
      </c>
      <c r="O56" s="7">
        <v>14</v>
      </c>
      <c r="P56" s="7" t="s">
        <v>43</v>
      </c>
      <c r="Q56" s="7" t="s">
        <v>61</v>
      </c>
    </row>
    <row r="57" spans="1:17" x14ac:dyDescent="0.2">
      <c r="A57" s="7">
        <v>1</v>
      </c>
      <c r="B57" s="7">
        <v>71.649199999999993</v>
      </c>
      <c r="C57" s="7">
        <v>84.597020000000001</v>
      </c>
      <c r="D57" s="7">
        <v>83.871009999999998</v>
      </c>
      <c r="E57" s="7">
        <v>29.296389999999999</v>
      </c>
      <c r="F57" s="7">
        <v>5.1753340000000003</v>
      </c>
      <c r="G57" s="7">
        <v>0.75888770000000005</v>
      </c>
      <c r="H57" s="7">
        <v>1.1289709999999999</v>
      </c>
      <c r="I57" s="7">
        <v>8.7580500000000006E-2</v>
      </c>
      <c r="J57" s="7">
        <v>3.5825599999999999E-2</v>
      </c>
      <c r="K57" s="7">
        <v>1.2609499999999999E-2</v>
      </c>
      <c r="L57" s="7">
        <v>1.018E-2</v>
      </c>
      <c r="M57" s="7">
        <v>2.7103000000000001E-3</v>
      </c>
      <c r="N57" s="7">
        <v>0</v>
      </c>
      <c r="O57" s="7">
        <v>0</v>
      </c>
      <c r="P57" s="7">
        <f ca="1">SUM(OFFSET($A$55,2,1,1,14))</f>
        <v>276.62571859999997</v>
      </c>
      <c r="Q57" s="7">
        <f ca="1">SUM(OFFSET($A$55,2,1,1,12))</f>
        <v>276.62571859999997</v>
      </c>
    </row>
    <row r="58" spans="1:17" x14ac:dyDescent="0.2">
      <c r="A58" s="7">
        <v>2</v>
      </c>
      <c r="B58" s="7">
        <v>140.38149999999999</v>
      </c>
      <c r="C58" s="7">
        <v>467.0197</v>
      </c>
      <c r="D58" s="7">
        <v>168.40309999999999</v>
      </c>
      <c r="E58" s="7">
        <v>124.35080000000001</v>
      </c>
      <c r="F58" s="7">
        <v>63.283110000000001</v>
      </c>
      <c r="G58" s="7">
        <v>8.3828019999999999</v>
      </c>
      <c r="H58" s="7">
        <v>2.3254679999999999</v>
      </c>
      <c r="I58" s="7">
        <v>0.65403389999999995</v>
      </c>
      <c r="J58" s="7">
        <v>0.55740230000000002</v>
      </c>
      <c r="K58" s="7">
        <v>4.5417800000000001E-2</v>
      </c>
      <c r="L58" s="7">
        <v>0.2363305</v>
      </c>
      <c r="M58" s="7">
        <v>6.1952399999999998E-2</v>
      </c>
      <c r="N58" s="7">
        <v>0</v>
      </c>
      <c r="O58" s="7">
        <v>0</v>
      </c>
      <c r="P58" s="7">
        <f ca="1">SUM(OFFSET($A$55,3,1,1,14))</f>
        <v>975.70161689999998</v>
      </c>
      <c r="Q58" s="7">
        <f ca="1">SUM(OFFSET($A$55,3,1,1,12))</f>
        <v>975.70161689999998</v>
      </c>
    </row>
    <row r="59" spans="1:17" x14ac:dyDescent="0.2">
      <c r="A59" s="7">
        <v>3</v>
      </c>
      <c r="B59" s="7">
        <v>285.59379999999999</v>
      </c>
      <c r="C59" s="7">
        <v>262.05119999999999</v>
      </c>
      <c r="D59" s="7">
        <v>1847.691</v>
      </c>
      <c r="E59" s="7">
        <v>3227.0079999999998</v>
      </c>
      <c r="F59" s="7">
        <v>381.61720000000003</v>
      </c>
      <c r="G59" s="7">
        <v>38.046619999999997</v>
      </c>
      <c r="H59" s="7">
        <v>81.851950000000002</v>
      </c>
      <c r="I59" s="7">
        <v>9.5497580000000006</v>
      </c>
      <c r="J59" s="7">
        <v>9.5317539999999994</v>
      </c>
      <c r="K59" s="7">
        <v>1.264975</v>
      </c>
      <c r="L59" s="7">
        <v>1.6640740000000001</v>
      </c>
      <c r="M59" s="7">
        <v>0.91086719999999999</v>
      </c>
      <c r="N59" s="7">
        <v>0</v>
      </c>
      <c r="O59" s="7">
        <v>0</v>
      </c>
      <c r="P59" s="7">
        <f ca="1">SUM(OFFSET($A$55,4,1,1,14))</f>
        <v>6146.7811982000003</v>
      </c>
      <c r="Q59" s="7">
        <f ca="1">SUM(OFFSET($A$55,4,1,1,12))</f>
        <v>6146.7811982000003</v>
      </c>
    </row>
    <row r="60" spans="1:17" x14ac:dyDescent="0.2">
      <c r="A60" s="7">
        <v>4</v>
      </c>
      <c r="B60" s="7">
        <v>72.739419999999996</v>
      </c>
      <c r="C60" s="7">
        <v>169.7954</v>
      </c>
      <c r="D60" s="7">
        <v>1989.193</v>
      </c>
      <c r="E60" s="7">
        <v>6476.2579999999998</v>
      </c>
      <c r="F60" s="7">
        <v>798.37310000000002</v>
      </c>
      <c r="G60" s="7">
        <v>66.636399999999995</v>
      </c>
      <c r="H60" s="7">
        <v>199.42529999999999</v>
      </c>
      <c r="I60" s="7">
        <v>20.759309999999999</v>
      </c>
      <c r="J60" s="7">
        <v>47.516060000000003</v>
      </c>
      <c r="K60" s="7">
        <v>4.0552359999999998</v>
      </c>
      <c r="L60" s="7">
        <v>2.8747449999999999</v>
      </c>
      <c r="M60" s="7">
        <v>2.6517230000000001</v>
      </c>
      <c r="N60" s="7">
        <v>0</v>
      </c>
      <c r="O60" s="7">
        <v>0</v>
      </c>
      <c r="P60" s="7">
        <f ca="1">SUM(OFFSET($A$55,5,1,1,14))</f>
        <v>9850.2776940000003</v>
      </c>
      <c r="Q60" s="7">
        <f ca="1">SUM(OFFSET($A$55,5,1,1,12))</f>
        <v>9850.2776940000003</v>
      </c>
    </row>
    <row r="61" spans="1:17" x14ac:dyDescent="0.2">
      <c r="A61" s="7">
        <v>5</v>
      </c>
      <c r="B61" s="7">
        <v>14.009510000000001</v>
      </c>
      <c r="C61" s="7">
        <v>77.939250000000001</v>
      </c>
      <c r="D61" s="7">
        <v>288.76260000000002</v>
      </c>
      <c r="E61" s="7">
        <v>523.97659999999996</v>
      </c>
      <c r="F61" s="7">
        <v>1190.769</v>
      </c>
      <c r="G61" s="7">
        <v>257.43810000000002</v>
      </c>
      <c r="H61" s="7">
        <v>96.720460000000003</v>
      </c>
      <c r="I61" s="7">
        <v>30.572289999999999</v>
      </c>
      <c r="J61" s="7">
        <v>75.51885</v>
      </c>
      <c r="K61" s="7">
        <v>3.5940720000000002</v>
      </c>
      <c r="L61" s="7">
        <v>18.154669999999999</v>
      </c>
      <c r="M61" s="7">
        <v>11.077909999999999</v>
      </c>
      <c r="N61" s="7">
        <v>0</v>
      </c>
      <c r="O61" s="7">
        <v>0</v>
      </c>
      <c r="P61" s="7">
        <f ca="1">SUM(OFFSET($A$55,6,1,1,14))</f>
        <v>2588.5333119999996</v>
      </c>
      <c r="Q61" s="7">
        <f ca="1">SUM(OFFSET($A$55,6,1,1,12))</f>
        <v>2588.5333119999996</v>
      </c>
    </row>
    <row r="62" spans="1:17" x14ac:dyDescent="0.2">
      <c r="A62" s="7">
        <v>6</v>
      </c>
      <c r="B62" s="7">
        <v>0.63490919999999995</v>
      </c>
      <c r="C62" s="7">
        <v>6.1733209999999996</v>
      </c>
      <c r="D62" s="7">
        <v>42.997549999999997</v>
      </c>
      <c r="E62" s="7">
        <v>33.531280000000002</v>
      </c>
      <c r="F62" s="7">
        <v>134.69049999999999</v>
      </c>
      <c r="G62" s="7">
        <v>372.94659999999999</v>
      </c>
      <c r="H62" s="7">
        <v>2.2345000000000002</v>
      </c>
      <c r="I62" s="7">
        <v>2.2180330000000001</v>
      </c>
      <c r="J62" s="7">
        <v>8.5728059999999999</v>
      </c>
      <c r="K62" s="7">
        <v>0.5182523</v>
      </c>
      <c r="L62" s="7">
        <v>39.003270000000001</v>
      </c>
      <c r="M62" s="7">
        <v>4.6323150000000002</v>
      </c>
      <c r="N62" s="7">
        <v>0</v>
      </c>
      <c r="O62" s="7">
        <v>0</v>
      </c>
      <c r="P62" s="7">
        <f ca="1">SUM(OFFSET($A$55,7,1,1,14))</f>
        <v>648.15333649999991</v>
      </c>
      <c r="Q62" s="7">
        <f ca="1">SUM(OFFSET($A$55,7,1,1,12))</f>
        <v>648.15333649999991</v>
      </c>
    </row>
    <row r="63" spans="1:17" x14ac:dyDescent="0.2">
      <c r="A63" s="7">
        <v>7</v>
      </c>
      <c r="B63" s="7">
        <v>1.6832830000000001</v>
      </c>
      <c r="C63" s="7">
        <v>2.790629</v>
      </c>
      <c r="D63" s="7">
        <v>58.708500000000001</v>
      </c>
      <c r="E63" s="7">
        <v>153.9906</v>
      </c>
      <c r="F63" s="7">
        <v>49.80256</v>
      </c>
      <c r="G63" s="7">
        <v>5.315315</v>
      </c>
      <c r="H63" s="7">
        <v>708.20809999999994</v>
      </c>
      <c r="I63" s="7">
        <v>26.554320000000001</v>
      </c>
      <c r="J63" s="7">
        <v>34.68994</v>
      </c>
      <c r="K63" s="7">
        <v>7.6863089999999996</v>
      </c>
      <c r="L63" s="7">
        <v>0.28409960000000001</v>
      </c>
      <c r="M63" s="7">
        <v>2.7869090000000001</v>
      </c>
      <c r="N63" s="7">
        <v>0</v>
      </c>
      <c r="O63" s="7">
        <v>0</v>
      </c>
      <c r="P63" s="7">
        <f ca="1">SUM(OFFSET($A$55,8,1,1,14))</f>
        <v>1052.5005645999997</v>
      </c>
      <c r="Q63" s="7">
        <f ca="1">SUM(OFFSET($A$55,8,1,1,12))</f>
        <v>1052.5005645999997</v>
      </c>
    </row>
    <row r="64" spans="1:17" x14ac:dyDescent="0.2">
      <c r="A64" s="7">
        <v>8</v>
      </c>
      <c r="B64" s="7">
        <v>0.2586234</v>
      </c>
      <c r="C64" s="7">
        <v>0.511633</v>
      </c>
      <c r="D64" s="7">
        <v>12.51568</v>
      </c>
      <c r="E64" s="7">
        <v>15.02905</v>
      </c>
      <c r="F64" s="7">
        <v>4.826416</v>
      </c>
      <c r="G64" s="7">
        <v>0.37000929999999999</v>
      </c>
      <c r="H64" s="7">
        <v>38.208019999999998</v>
      </c>
      <c r="I64" s="7">
        <v>59.832410000000003</v>
      </c>
      <c r="J64" s="7">
        <v>22.866099999999999</v>
      </c>
      <c r="K64" s="7">
        <v>7.5284259999999996</v>
      </c>
      <c r="L64" s="7">
        <v>3.5989199999999999E-2</v>
      </c>
      <c r="M64" s="7">
        <v>3.5048370000000002</v>
      </c>
      <c r="N64" s="7">
        <v>0</v>
      </c>
      <c r="O64" s="7">
        <v>2.0000000000000002E-5</v>
      </c>
      <c r="P64" s="7">
        <f ca="1">SUM(OFFSET($A$55,9,1,1,14))</f>
        <v>165.4872139</v>
      </c>
      <c r="Q64" s="7">
        <f ca="1">SUM(OFFSET($A$55,9,1,1,12))</f>
        <v>165.48719389999999</v>
      </c>
    </row>
    <row r="65" spans="1:17" x14ac:dyDescent="0.2">
      <c r="A65" s="7">
        <v>9</v>
      </c>
      <c r="B65" s="7">
        <v>0.15473429999999999</v>
      </c>
      <c r="C65" s="7">
        <v>0.45784979999999997</v>
      </c>
      <c r="D65" s="7">
        <v>8.9391189999999998</v>
      </c>
      <c r="E65" s="7">
        <v>20.784700000000001</v>
      </c>
      <c r="F65" s="7">
        <v>40.795850000000002</v>
      </c>
      <c r="G65" s="7">
        <v>8.6077929999999991</v>
      </c>
      <c r="H65" s="7">
        <v>30.308199999999999</v>
      </c>
      <c r="I65" s="7">
        <v>29.511130000000001</v>
      </c>
      <c r="J65" s="7">
        <v>594.12729999999999</v>
      </c>
      <c r="K65" s="7">
        <v>57.036650000000002</v>
      </c>
      <c r="L65" s="7">
        <v>5.4948439999999996</v>
      </c>
      <c r="M65" s="7">
        <v>181.1765</v>
      </c>
      <c r="N65" s="7">
        <v>2.4136000000000001E-3</v>
      </c>
      <c r="O65" s="7">
        <v>0.50958179999999997</v>
      </c>
      <c r="P65" s="7">
        <f ca="1">SUM(OFFSET($A$55,10,1,1,14))</f>
        <v>977.90666549999992</v>
      </c>
      <c r="Q65" s="7">
        <f ca="1">SUM(OFFSET($A$55,10,1,1,12))</f>
        <v>977.39467009999998</v>
      </c>
    </row>
    <row r="66" spans="1:17" x14ac:dyDescent="0.2">
      <c r="A66" s="7">
        <v>10</v>
      </c>
      <c r="B66" s="7">
        <v>3.8237199999999999E-2</v>
      </c>
      <c r="C66" s="7">
        <v>0.11619309999999999</v>
      </c>
      <c r="D66" s="7">
        <v>2.4290880000000001</v>
      </c>
      <c r="E66" s="7">
        <v>5.0513839999999997</v>
      </c>
      <c r="F66" s="7">
        <v>1.6734990000000001</v>
      </c>
      <c r="G66" s="7">
        <v>0.3441515</v>
      </c>
      <c r="H66" s="7">
        <v>7.6656300000000002</v>
      </c>
      <c r="I66" s="7">
        <v>3.0821679999999998</v>
      </c>
      <c r="J66" s="7">
        <v>76.440079999999995</v>
      </c>
      <c r="K66" s="7">
        <v>103.71769999999999</v>
      </c>
      <c r="L66" s="7">
        <v>0.54268269999999996</v>
      </c>
      <c r="M66" s="7">
        <v>17.000730000000001</v>
      </c>
      <c r="N66" s="7">
        <v>0</v>
      </c>
      <c r="O66" s="7">
        <v>1.02411E-2</v>
      </c>
      <c r="P66" s="7">
        <f ca="1">SUM(OFFSET($A$55,11,1,1,14))</f>
        <v>218.11178459999999</v>
      </c>
      <c r="Q66" s="7">
        <f ca="1">SUM(OFFSET($A$55,11,1,1,12))</f>
        <v>218.10154349999999</v>
      </c>
    </row>
    <row r="67" spans="1:17" x14ac:dyDescent="0.2">
      <c r="A67" s="7">
        <v>11</v>
      </c>
      <c r="B67" s="7">
        <v>1.7505099999999999E-2</v>
      </c>
      <c r="C67" s="7">
        <v>0.1849672</v>
      </c>
      <c r="D67" s="7">
        <v>0.71060310000000004</v>
      </c>
      <c r="E67" s="7">
        <v>1.1394150000000001</v>
      </c>
      <c r="F67" s="7">
        <v>7.32219</v>
      </c>
      <c r="G67" s="7">
        <v>30.486910000000002</v>
      </c>
      <c r="H67" s="7">
        <v>0.20244970000000001</v>
      </c>
      <c r="I67" s="7">
        <v>0.1504356</v>
      </c>
      <c r="J67" s="7">
        <v>4.2272069999999999</v>
      </c>
      <c r="K67" s="7">
        <v>0.20531569999999999</v>
      </c>
      <c r="L67" s="7">
        <v>93.541129999999995</v>
      </c>
      <c r="M67" s="7">
        <v>10.601430000000001</v>
      </c>
      <c r="N67" s="7">
        <v>0</v>
      </c>
      <c r="O67" s="7">
        <v>7.9996000000000008E-3</v>
      </c>
      <c r="P67" s="7">
        <f ca="1">SUM(OFFSET($A$55,12,1,1,14))</f>
        <v>148.79755799999998</v>
      </c>
      <c r="Q67" s="7">
        <f ca="1">SUM(OFFSET($A$55,12,1,1,12))</f>
        <v>148.78955839999998</v>
      </c>
    </row>
    <row r="68" spans="1:17" x14ac:dyDescent="0.2">
      <c r="A68" s="7">
        <v>12</v>
      </c>
      <c r="B68" s="7">
        <v>1.9838E-3</v>
      </c>
      <c r="C68" s="7">
        <v>5.47997E-2</v>
      </c>
      <c r="D68" s="7">
        <v>0.41606959999999998</v>
      </c>
      <c r="E68" s="7">
        <v>0.85912909999999998</v>
      </c>
      <c r="F68" s="7">
        <v>4.0784750000000001</v>
      </c>
      <c r="G68" s="7">
        <v>7.9774390000000004</v>
      </c>
      <c r="H68" s="7">
        <v>1.071477</v>
      </c>
      <c r="I68" s="7">
        <v>1.6266179999999999</v>
      </c>
      <c r="J68" s="7">
        <v>124.1682</v>
      </c>
      <c r="K68" s="7">
        <v>13.63683</v>
      </c>
      <c r="L68" s="7">
        <v>16.15718</v>
      </c>
      <c r="M68" s="7">
        <v>303.19880000000001</v>
      </c>
      <c r="N68" s="7">
        <v>7.8568499999999999E-2</v>
      </c>
      <c r="O68" s="7">
        <v>7.5326199999999996</v>
      </c>
      <c r="P68" s="7">
        <f ca="1">SUM(OFFSET($A$55,13,1,1,14))</f>
        <v>480.85818970000003</v>
      </c>
      <c r="Q68" s="7">
        <f ca="1">SUM(OFFSET($A$55,13,1,1,12))</f>
        <v>473.2470012</v>
      </c>
    </row>
    <row r="69" spans="1:17" x14ac:dyDescent="0.2">
      <c r="A69" s="7">
        <v>13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5.3000000000000001E-6</v>
      </c>
      <c r="K69" s="7">
        <v>0</v>
      </c>
      <c r="L69" s="7">
        <v>0</v>
      </c>
      <c r="M69" s="7">
        <v>1.8912499999999999E-2</v>
      </c>
      <c r="N69" s="7">
        <v>22.446190000000001</v>
      </c>
      <c r="O69" s="7">
        <v>14.30176</v>
      </c>
      <c r="P69" s="7">
        <f ca="1">SUM(OFFSET($A$55,14,1,1,14))</f>
        <v>36.7668678</v>
      </c>
      <c r="Q69" s="7">
        <f ca="1">SUM(OFFSET($A$55,14,1,1,12))</f>
        <v>1.8917799999999999E-2</v>
      </c>
    </row>
    <row r="70" spans="1:17" x14ac:dyDescent="0.2">
      <c r="A70" s="7">
        <v>14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0.23324490000000001</v>
      </c>
      <c r="K70" s="7">
        <v>0</v>
      </c>
      <c r="L70" s="7">
        <v>5.687E-4</v>
      </c>
      <c r="M70" s="7">
        <v>3.0555349999999999</v>
      </c>
      <c r="N70" s="7">
        <v>23.15512</v>
      </c>
      <c r="O70" s="7">
        <v>442.35680000000002</v>
      </c>
      <c r="P70" s="7">
        <f ca="1">SUM(OFFSET($A$55,15,1,1,14))</f>
        <v>468.80126860000001</v>
      </c>
      <c r="Q70" s="7">
        <f ca="1">SUM(OFFSET($A$55,15,1,1,12))</f>
        <v>3.2893485999999998</v>
      </c>
    </row>
    <row r="71" spans="1:17" x14ac:dyDescent="0.2">
      <c r="A71" s="7" t="s">
        <v>43</v>
      </c>
      <c r="B71" s="7">
        <f ca="1">SUM(OFFSET($A$55,2,1,14,1))</f>
        <v>587.16270599999996</v>
      </c>
      <c r="C71" s="7">
        <f ca="1">SUM(OFFSET($A$55,2,2,14,1))</f>
        <v>1071.6919628000003</v>
      </c>
      <c r="D71" s="7">
        <f ca="1">SUM(OFFSET($A$55,2,3,14,1))</f>
        <v>4504.6373197000003</v>
      </c>
      <c r="E71" s="7">
        <f ca="1">SUM(OFFSET($A$55,2,4,14,1))</f>
        <v>10611.275348099996</v>
      </c>
      <c r="F71" s="7">
        <f ca="1">SUM(OFFSET($A$55,2,5,14,1))</f>
        <v>2682.4072339999998</v>
      </c>
      <c r="G71" s="7">
        <f ca="1">SUM(OFFSET($A$55,2,6,14,1))</f>
        <v>797.31102750000002</v>
      </c>
      <c r="H71" s="7">
        <f ca="1">SUM(OFFSET($A$55,2,7,14,1))</f>
        <v>1169.3505256999999</v>
      </c>
      <c r="I71" s="7">
        <f ca="1">SUM(OFFSET($A$55,2,8,14,1))</f>
        <v>184.59808700000002</v>
      </c>
      <c r="J71" s="7">
        <f ca="1">SUM(OFFSET($A$55,2,9,14,1))</f>
        <v>998.48477509999998</v>
      </c>
      <c r="K71" s="7">
        <f ca="1">SUM(OFFSET($A$55,2,10,14,1))</f>
        <v>199.30179329999999</v>
      </c>
      <c r="L71" s="7">
        <f ca="1">SUM(OFFSET($A$55,2,11,14,1))</f>
        <v>177.99976370000002</v>
      </c>
      <c r="M71" s="7">
        <f ca="1">SUM(OFFSET($A$55,2,12,14,1))</f>
        <v>540.68113140000003</v>
      </c>
      <c r="N71" s="7">
        <f ca="1">SUM(OFFSET($A$55,2,13,14,1))</f>
        <v>45.682292099999998</v>
      </c>
      <c r="O71" s="7">
        <f ca="1">SUM(OFFSET($A$55,2,14,14,1))</f>
        <v>464.71902250000005</v>
      </c>
      <c r="P71" s="7">
        <f ca="1">SUM(OFFSET($A$55,16,1,1,14))</f>
        <v>24035.302988899995</v>
      </c>
      <c r="Q71" s="7">
        <f ca="1">SUM(OFFSET($A$55,16,1,1,12))</f>
        <v>23524.901674299996</v>
      </c>
    </row>
    <row r="72" spans="1:17" x14ac:dyDescent="0.2">
      <c r="O72" s="12" t="s">
        <v>59</v>
      </c>
      <c r="P72" s="7">
        <f ca="1">SUM(OFFSET($B$57,0,0,12,12))</f>
        <v>23521.593407899989</v>
      </c>
    </row>
    <row r="73" spans="1:17" x14ac:dyDescent="0.2">
      <c r="A73" s="7" t="s">
        <v>95</v>
      </c>
    </row>
    <row r="74" spans="1:17" x14ac:dyDescent="0.2">
      <c r="B74" s="7">
        <v>1</v>
      </c>
      <c r="C74" s="7">
        <v>2</v>
      </c>
      <c r="D74" s="7">
        <v>3</v>
      </c>
      <c r="E74" s="7">
        <v>4</v>
      </c>
      <c r="F74" s="7">
        <v>5</v>
      </c>
      <c r="G74" s="7">
        <v>6</v>
      </c>
      <c r="H74" s="7">
        <v>7</v>
      </c>
      <c r="I74" s="7">
        <v>8</v>
      </c>
      <c r="J74" s="7">
        <v>9</v>
      </c>
      <c r="K74" s="7">
        <v>10</v>
      </c>
      <c r="L74" s="7">
        <v>11</v>
      </c>
      <c r="M74" s="7">
        <v>12</v>
      </c>
      <c r="N74" s="7">
        <v>13</v>
      </c>
      <c r="O74" s="7">
        <v>14</v>
      </c>
      <c r="P74" s="7" t="s">
        <v>43</v>
      </c>
      <c r="Q74" s="7" t="s">
        <v>61</v>
      </c>
    </row>
    <row r="75" spans="1:17" x14ac:dyDescent="0.2">
      <c r="A75" s="7">
        <v>1</v>
      </c>
      <c r="B75" s="7">
        <v>0</v>
      </c>
      <c r="C75" s="7">
        <v>7.2494269999999998</v>
      </c>
      <c r="D75" s="7">
        <v>88.034149999999997</v>
      </c>
      <c r="E75" s="7">
        <v>29.618670000000002</v>
      </c>
      <c r="F75" s="7">
        <v>11.28796</v>
      </c>
      <c r="G75" s="7">
        <v>2.2223920000000001</v>
      </c>
      <c r="H75" s="7">
        <v>8.5659390000000002</v>
      </c>
      <c r="I75" s="7">
        <v>0.42528739999999998</v>
      </c>
      <c r="J75" s="7">
        <v>0.69834499999999999</v>
      </c>
      <c r="K75" s="7">
        <v>2.9219200000000001E-2</v>
      </c>
      <c r="L75" s="7">
        <v>2.95138E-2</v>
      </c>
      <c r="M75" s="7">
        <v>5.0407500000000001E-2</v>
      </c>
      <c r="N75" s="7">
        <v>0</v>
      </c>
      <c r="O75" s="7">
        <v>0</v>
      </c>
      <c r="P75" s="7">
        <f ca="1">SUM(OFFSET($A$73,2,1,1,14))</f>
        <v>148.2113109</v>
      </c>
      <c r="Q75" s="7">
        <f ca="1">SUM(OFFSET($A$73,2,1,1,12))</f>
        <v>148.2113109</v>
      </c>
    </row>
    <row r="76" spans="1:17" x14ac:dyDescent="0.2">
      <c r="A76" s="7">
        <v>2</v>
      </c>
      <c r="B76" s="7">
        <v>0</v>
      </c>
      <c r="C76" s="7">
        <v>0</v>
      </c>
      <c r="D76" s="7">
        <v>504.29149999999998</v>
      </c>
      <c r="E76" s="7">
        <v>123.0998</v>
      </c>
      <c r="F76" s="7">
        <v>84.041349999999994</v>
      </c>
      <c r="G76" s="7">
        <v>21.566960000000002</v>
      </c>
      <c r="H76" s="7">
        <v>14.146599999999999</v>
      </c>
      <c r="I76" s="7">
        <v>3.056908</v>
      </c>
      <c r="J76" s="7">
        <v>12.710660000000001</v>
      </c>
      <c r="K76" s="7">
        <v>0.1118275</v>
      </c>
      <c r="L76" s="7">
        <v>0.56555109999999997</v>
      </c>
      <c r="M76" s="7">
        <v>1.312046</v>
      </c>
      <c r="N76" s="7">
        <v>0</v>
      </c>
      <c r="O76" s="7">
        <v>0</v>
      </c>
      <c r="P76" s="7">
        <f ca="1">SUM(OFFSET($A$73,3,1,1,14))</f>
        <v>764.90320259999999</v>
      </c>
      <c r="Q76" s="7">
        <f ca="1">SUM(OFFSET($A$73,3,1,1,12))</f>
        <v>764.90320259999999</v>
      </c>
    </row>
    <row r="77" spans="1:17" x14ac:dyDescent="0.2">
      <c r="A77" s="7">
        <v>3</v>
      </c>
      <c r="B77" s="7">
        <v>100.0562</v>
      </c>
      <c r="C77" s="7">
        <v>721.0557</v>
      </c>
      <c r="D77" s="7">
        <v>2247.4670000000001</v>
      </c>
      <c r="E77" s="7">
        <v>3964.0819999999999</v>
      </c>
      <c r="F77" s="7">
        <v>1576.046</v>
      </c>
      <c r="G77" s="7">
        <v>180.1336</v>
      </c>
      <c r="H77" s="7">
        <v>1189.3810000000001</v>
      </c>
      <c r="I77" s="7">
        <v>89.547250000000005</v>
      </c>
      <c r="J77" s="7">
        <v>231.2998</v>
      </c>
      <c r="K77" s="7">
        <v>5.1780369999999998</v>
      </c>
      <c r="L77" s="7">
        <v>7.4221339999999998</v>
      </c>
      <c r="M77" s="7">
        <v>11.998989999999999</v>
      </c>
      <c r="N77" s="7">
        <v>0</v>
      </c>
      <c r="O77" s="7">
        <v>6.9947000000000004E-3</v>
      </c>
      <c r="P77" s="7">
        <f ca="1">SUM(OFFSET($A$73,4,1,1,14))</f>
        <v>10323.674705699998</v>
      </c>
      <c r="Q77" s="7">
        <f ca="1">SUM(OFFSET($A$73,4,1,1,12))</f>
        <v>10323.667710999998</v>
      </c>
    </row>
    <row r="78" spans="1:17" x14ac:dyDescent="0.2">
      <c r="A78" s="7">
        <v>4</v>
      </c>
      <c r="B78" s="7">
        <v>61.31156</v>
      </c>
      <c r="C78" s="7">
        <v>176.00739999999999</v>
      </c>
      <c r="D78" s="7">
        <v>2906.6779999999999</v>
      </c>
      <c r="E78" s="7">
        <v>1559.7950000000001</v>
      </c>
      <c r="F78" s="7">
        <v>884.95669999999996</v>
      </c>
      <c r="G78" s="7">
        <v>142.63919999999999</v>
      </c>
      <c r="H78" s="7">
        <v>585.65599999999995</v>
      </c>
      <c r="I78" s="7">
        <v>39.456209999999999</v>
      </c>
      <c r="J78" s="7">
        <v>236.16929999999999</v>
      </c>
      <c r="K78" s="7">
        <v>5.8708840000000002</v>
      </c>
      <c r="L78" s="7">
        <v>5.5208740000000001</v>
      </c>
      <c r="M78" s="7">
        <v>7.9485279999999996</v>
      </c>
      <c r="N78" s="7">
        <v>0</v>
      </c>
      <c r="O78" s="7">
        <v>1.0144500000000001E-2</v>
      </c>
      <c r="P78" s="7">
        <f ca="1">SUM(OFFSET($A$73,5,1,1,14))</f>
        <v>6612.0198004999993</v>
      </c>
      <c r="Q78" s="7">
        <f ca="1">SUM(OFFSET($A$73,5,1,1,12))</f>
        <v>6612.0096559999993</v>
      </c>
    </row>
    <row r="79" spans="1:17" x14ac:dyDescent="0.2">
      <c r="A79" s="7">
        <v>5</v>
      </c>
      <c r="B79" s="7">
        <v>23.849170000000001</v>
      </c>
      <c r="C79" s="7">
        <v>104.0551</v>
      </c>
      <c r="D79" s="7">
        <v>1145.7860000000001</v>
      </c>
      <c r="E79" s="7">
        <v>593.55640000000005</v>
      </c>
      <c r="F79" s="7">
        <v>1846.8879999999999</v>
      </c>
      <c r="G79" s="7">
        <v>604.07560000000001</v>
      </c>
      <c r="H79" s="7">
        <v>149.63759999999999</v>
      </c>
      <c r="I79" s="7">
        <v>71.115080000000006</v>
      </c>
      <c r="J79" s="7">
        <v>757.75</v>
      </c>
      <c r="K79" s="7">
        <v>16.413640000000001</v>
      </c>
      <c r="L79" s="7">
        <v>39.636650000000003</v>
      </c>
      <c r="M79" s="7">
        <v>56.348219999999998</v>
      </c>
      <c r="N79" s="7">
        <v>0</v>
      </c>
      <c r="O79" s="7">
        <v>0.31838309999999997</v>
      </c>
      <c r="P79" s="7">
        <f ca="1">SUM(OFFSET($A$73,6,1,1,14))</f>
        <v>5409.4298430999988</v>
      </c>
      <c r="Q79" s="7">
        <f ca="1">SUM(OFFSET($A$73,6,1,1,12))</f>
        <v>5409.1114599999992</v>
      </c>
    </row>
    <row r="80" spans="1:17" x14ac:dyDescent="0.2">
      <c r="A80" s="7">
        <v>6</v>
      </c>
      <c r="B80" s="7">
        <v>1.6297790000000001</v>
      </c>
      <c r="C80" s="7">
        <v>22.340979999999998</v>
      </c>
      <c r="D80" s="7">
        <v>246.91589999999999</v>
      </c>
      <c r="E80" s="7">
        <v>75.89049</v>
      </c>
      <c r="F80" s="7">
        <v>323.14749999999998</v>
      </c>
      <c r="G80" s="7">
        <v>124.92149999999999</v>
      </c>
      <c r="H80" s="7">
        <v>7.1077690000000002</v>
      </c>
      <c r="I80" s="7">
        <v>10.760730000000001</v>
      </c>
      <c r="J80" s="7">
        <v>97.600629999999995</v>
      </c>
      <c r="K80" s="7">
        <v>3.648336</v>
      </c>
      <c r="L80" s="7">
        <v>1.6583209999999999</v>
      </c>
      <c r="M80" s="7">
        <v>8.9240180000000002</v>
      </c>
      <c r="N80" s="7">
        <v>0</v>
      </c>
      <c r="O80" s="7">
        <v>2.5867500000000002E-2</v>
      </c>
      <c r="P80" s="7">
        <f ca="1">SUM(OFFSET($A$73,7,1,1,14))</f>
        <v>924.57182050000006</v>
      </c>
      <c r="Q80" s="7">
        <f ca="1">SUM(OFFSET($A$73,7,1,1,12))</f>
        <v>924.54595300000005</v>
      </c>
    </row>
    <row r="81" spans="1:17" x14ac:dyDescent="0.2">
      <c r="A81" s="7">
        <v>7</v>
      </c>
      <c r="B81" s="7">
        <v>7.7277050000000003</v>
      </c>
      <c r="C81" s="7">
        <v>15.52886</v>
      </c>
      <c r="D81" s="7">
        <v>574.125</v>
      </c>
      <c r="E81" s="7">
        <v>406.1551</v>
      </c>
      <c r="F81" s="7">
        <v>83.690619999999996</v>
      </c>
      <c r="G81" s="7">
        <v>13.171720000000001</v>
      </c>
      <c r="H81" s="7">
        <v>285.63099999999997</v>
      </c>
      <c r="I81" s="7">
        <v>24.664960000000001</v>
      </c>
      <c r="J81" s="7">
        <v>40.197989999999997</v>
      </c>
      <c r="K81" s="7">
        <v>7.4309419999999999</v>
      </c>
      <c r="L81" s="7">
        <v>0.4826087</v>
      </c>
      <c r="M81" s="7">
        <v>2.6424629999999998</v>
      </c>
      <c r="N81" s="7">
        <v>0</v>
      </c>
      <c r="O81" s="7">
        <v>0</v>
      </c>
      <c r="P81" s="7">
        <f ca="1">SUM(OFFSET($A$73,8,1,1,14))</f>
        <v>1461.4489686999998</v>
      </c>
      <c r="Q81" s="7">
        <f ca="1">SUM(OFFSET($A$73,8,1,1,12))</f>
        <v>1461.4489686999998</v>
      </c>
    </row>
    <row r="82" spans="1:17" x14ac:dyDescent="0.2">
      <c r="A82" s="7">
        <v>8</v>
      </c>
      <c r="B82" s="7">
        <v>0.64817519999999995</v>
      </c>
      <c r="C82" s="7">
        <v>1.6562190000000001</v>
      </c>
      <c r="D82" s="7">
        <v>68.853800000000007</v>
      </c>
      <c r="E82" s="7">
        <v>22.437950000000001</v>
      </c>
      <c r="F82" s="7">
        <v>5.6954260000000003</v>
      </c>
      <c r="G82" s="7">
        <v>0.75061800000000001</v>
      </c>
      <c r="H82" s="7">
        <v>35.859859999999998</v>
      </c>
      <c r="I82" s="7">
        <v>1.3117000000000001E-3</v>
      </c>
      <c r="J82" s="7">
        <v>5.0003700000000002</v>
      </c>
      <c r="K82" s="7">
        <v>1.7829E-3</v>
      </c>
      <c r="L82" s="7">
        <v>4.6494800000000003E-2</v>
      </c>
      <c r="M82" s="7">
        <v>1.1685559999999999</v>
      </c>
      <c r="N82" s="7">
        <v>0</v>
      </c>
      <c r="O82" s="7">
        <v>0</v>
      </c>
      <c r="P82" s="7">
        <f ca="1">SUM(OFFSET($A$73,9,1,1,14))</f>
        <v>142.12056360000003</v>
      </c>
      <c r="Q82" s="7">
        <f ca="1">SUM(OFFSET($A$73,9,1,1,12))</f>
        <v>142.12056360000003</v>
      </c>
    </row>
    <row r="83" spans="1:17" x14ac:dyDescent="0.2">
      <c r="A83" s="7">
        <v>9</v>
      </c>
      <c r="B83" s="7">
        <v>2.2736010000000002</v>
      </c>
      <c r="C83" s="7">
        <v>10.77046</v>
      </c>
      <c r="D83" s="7">
        <v>167.35220000000001</v>
      </c>
      <c r="E83" s="7">
        <v>76.86</v>
      </c>
      <c r="F83" s="7">
        <v>434.34120000000001</v>
      </c>
      <c r="G83" s="7">
        <v>117.6751</v>
      </c>
      <c r="H83" s="7">
        <v>54.90784</v>
      </c>
      <c r="I83" s="7">
        <v>40.950980000000001</v>
      </c>
      <c r="J83" s="7">
        <v>330.0496</v>
      </c>
      <c r="K83" s="7">
        <v>7.2832970000000001</v>
      </c>
      <c r="L83" s="7">
        <v>5.6336560000000002</v>
      </c>
      <c r="M83" s="7">
        <v>19.899529999999999</v>
      </c>
      <c r="N83" s="7">
        <v>0</v>
      </c>
      <c r="O83" s="7">
        <v>0.20054659999999999</v>
      </c>
      <c r="P83" s="7">
        <f ca="1">SUM(OFFSET($A$73,10,1,1,14))</f>
        <v>1268.1980105999999</v>
      </c>
      <c r="Q83" s="7">
        <f ca="1">SUM(OFFSET($A$73,10,1,1,12))</f>
        <v>1267.9974639999998</v>
      </c>
    </row>
    <row r="84" spans="1:17" x14ac:dyDescent="0.2">
      <c r="A84" s="7">
        <v>10</v>
      </c>
      <c r="B84" s="7">
        <v>5.60487E-2</v>
      </c>
      <c r="C84" s="7">
        <v>0.25326290000000001</v>
      </c>
      <c r="D84" s="7">
        <v>7.8887029999999996</v>
      </c>
      <c r="E84" s="7">
        <v>3.862228</v>
      </c>
      <c r="F84" s="7">
        <v>6.757708</v>
      </c>
      <c r="G84" s="7">
        <v>2.8979010000000001</v>
      </c>
      <c r="H84" s="7">
        <v>5.4385690000000002</v>
      </c>
      <c r="I84" s="7">
        <v>3.2290519999999998</v>
      </c>
      <c r="J84" s="7">
        <v>13.822990000000001</v>
      </c>
      <c r="K84" s="7">
        <v>0</v>
      </c>
      <c r="L84" s="7">
        <v>0.23609669999999999</v>
      </c>
      <c r="M84" s="7">
        <v>0</v>
      </c>
      <c r="N84" s="7">
        <v>0</v>
      </c>
      <c r="O84" s="7">
        <v>0</v>
      </c>
      <c r="P84" s="7">
        <f ca="1">SUM(OFFSET($A$73,11,1,1,14))</f>
        <v>44.442559299999999</v>
      </c>
      <c r="Q84" s="7">
        <f ca="1">SUM(OFFSET($A$73,11,1,1,12))</f>
        <v>44.442559299999999</v>
      </c>
    </row>
    <row r="85" spans="1:17" x14ac:dyDescent="0.2">
      <c r="A85" s="7">
        <v>11</v>
      </c>
      <c r="B85" s="7">
        <v>5.12291E-2</v>
      </c>
      <c r="C85" s="7">
        <v>0.75086120000000001</v>
      </c>
      <c r="D85" s="7">
        <v>5.1193200000000001</v>
      </c>
      <c r="E85" s="7">
        <v>2.092482</v>
      </c>
      <c r="F85" s="7">
        <v>9.8620839999999994</v>
      </c>
      <c r="G85" s="7">
        <v>110.8788</v>
      </c>
      <c r="H85" s="7">
        <v>0.51196580000000003</v>
      </c>
      <c r="I85" s="7">
        <v>0.28877069999999999</v>
      </c>
      <c r="J85" s="7">
        <v>3.980753</v>
      </c>
      <c r="K85" s="7">
        <v>0.25453360000000003</v>
      </c>
      <c r="L85" s="7">
        <v>12.07672</v>
      </c>
      <c r="M85" s="7">
        <v>0.99080950000000001</v>
      </c>
      <c r="N85" s="7">
        <v>0</v>
      </c>
      <c r="O85" s="7">
        <v>0</v>
      </c>
      <c r="P85" s="7">
        <f ca="1">SUM(OFFSET($A$73,12,1,1,14))</f>
        <v>146.8583289</v>
      </c>
      <c r="Q85" s="7">
        <f ca="1">SUM(OFFSET($A$73,12,1,1,12))</f>
        <v>146.8583289</v>
      </c>
    </row>
    <row r="86" spans="1:17" x14ac:dyDescent="0.2">
      <c r="A86" s="7">
        <v>12</v>
      </c>
      <c r="B86" s="7">
        <v>5.2568400000000001E-2</v>
      </c>
      <c r="C86" s="7">
        <v>0.64044630000000002</v>
      </c>
      <c r="D86" s="7">
        <v>5.0737620000000003</v>
      </c>
      <c r="E86" s="7">
        <v>2.3950179999999999</v>
      </c>
      <c r="F86" s="7">
        <v>18.46847</v>
      </c>
      <c r="G86" s="7">
        <v>27.98021</v>
      </c>
      <c r="H86" s="7">
        <v>1.7105300000000001</v>
      </c>
      <c r="I86" s="7">
        <v>3.5959029999999998</v>
      </c>
      <c r="J86" s="7">
        <v>15.28593</v>
      </c>
      <c r="K86" s="7">
        <v>0</v>
      </c>
      <c r="L86" s="7">
        <v>3.4519300000000003E-2</v>
      </c>
      <c r="M86" s="7">
        <v>0</v>
      </c>
      <c r="N86" s="7">
        <v>0</v>
      </c>
      <c r="O86" s="7">
        <v>0</v>
      </c>
      <c r="P86" s="7">
        <f ca="1">SUM(OFFSET($A$73,13,1,1,14))</f>
        <v>75.237357000000003</v>
      </c>
      <c r="Q86" s="7">
        <f ca="1">SUM(OFFSET($A$73,13,1,1,12))</f>
        <v>75.237357000000003</v>
      </c>
    </row>
    <row r="87" spans="1:17" x14ac:dyDescent="0.2">
      <c r="A87" s="7">
        <v>13</v>
      </c>
      <c r="B87" s="7">
        <v>2.6689999999999998E-4</v>
      </c>
      <c r="C87" s="7">
        <v>2.2174999999999999E-3</v>
      </c>
      <c r="D87" s="7">
        <v>3.7027499999999998E-2</v>
      </c>
      <c r="E87" s="7">
        <v>1.05834E-2</v>
      </c>
      <c r="F87" s="7">
        <v>4.1580699999999998E-2</v>
      </c>
      <c r="G87" s="7">
        <v>1.3345689999999999</v>
      </c>
      <c r="H87" s="7">
        <v>1.2512000000000001E-3</v>
      </c>
      <c r="I87" s="7">
        <v>4.5449999999999999E-4</v>
      </c>
      <c r="J87" s="7">
        <v>7.1156800000000006E-2</v>
      </c>
      <c r="K87" s="7">
        <v>0</v>
      </c>
      <c r="L87" s="7">
        <v>5.6385680000000002</v>
      </c>
      <c r="M87" s="7">
        <v>0.72645349999999997</v>
      </c>
      <c r="N87" s="7">
        <v>0</v>
      </c>
      <c r="O87" s="7">
        <v>0</v>
      </c>
      <c r="P87" s="7">
        <f ca="1">SUM(OFFSET($A$73,14,1,1,14))</f>
        <v>7.8641290000000001</v>
      </c>
      <c r="Q87" s="7">
        <f ca="1">SUM(OFFSET($A$73,14,1,1,12))</f>
        <v>7.8641290000000001</v>
      </c>
    </row>
    <row r="88" spans="1:17" x14ac:dyDescent="0.2">
      <c r="A88" s="7">
        <v>14</v>
      </c>
      <c r="B88" s="7">
        <v>5.2599999999999998E-5</v>
      </c>
      <c r="C88" s="7">
        <v>3.2257000000000002E-3</v>
      </c>
      <c r="D88" s="7">
        <v>8.3541599999999994E-2</v>
      </c>
      <c r="E88" s="7">
        <v>1.7881600000000001E-2</v>
      </c>
      <c r="F88" s="7">
        <v>4.3195999999999998E-2</v>
      </c>
      <c r="G88" s="7">
        <v>1.737854</v>
      </c>
      <c r="H88" s="7">
        <v>1.0727E-3</v>
      </c>
      <c r="I88" s="7">
        <v>0</v>
      </c>
      <c r="J88" s="7">
        <v>0.41033619999999998</v>
      </c>
      <c r="K88" s="7">
        <v>0</v>
      </c>
      <c r="L88" s="7">
        <v>4.4450609999999999</v>
      </c>
      <c r="M88" s="7">
        <v>1.6980919999999999</v>
      </c>
      <c r="N88" s="7">
        <v>0</v>
      </c>
      <c r="O88" s="7">
        <v>0</v>
      </c>
      <c r="P88" s="7">
        <f ca="1">SUM(OFFSET($A$73,15,1,1,14))</f>
        <v>8.4403134000000009</v>
      </c>
      <c r="Q88" s="7">
        <f ca="1">SUM(OFFSET($A$73,15,1,1,12))</f>
        <v>8.4403134000000009</v>
      </c>
    </row>
    <row r="89" spans="1:17" x14ac:dyDescent="0.2">
      <c r="A89" s="7" t="s">
        <v>43</v>
      </c>
      <c r="B89" s="7">
        <f ca="1">SUM(OFFSET($A$73,2,1,14,1))</f>
        <v>197.65635590000002</v>
      </c>
      <c r="C89" s="7">
        <f ca="1">SUM(OFFSET($A$73,2,2,14,1))</f>
        <v>1060.3141595999996</v>
      </c>
      <c r="D89" s="7">
        <f ca="1">SUM(OFFSET($A$73,2,3,14,1))</f>
        <v>7967.7059040999993</v>
      </c>
      <c r="E89" s="7">
        <f ca="1">SUM(OFFSET($A$73,2,4,14,1))</f>
        <v>6859.873603</v>
      </c>
      <c r="F89" s="7">
        <f ca="1">SUM(OFFSET($A$73,2,5,14,1))</f>
        <v>5285.2677947000002</v>
      </c>
      <c r="G89" s="7">
        <f ca="1">SUM(OFFSET($A$73,2,6,14,1))</f>
        <v>1351.986024</v>
      </c>
      <c r="H89" s="7">
        <f ca="1">SUM(OFFSET($A$73,2,7,14,1))</f>
        <v>2338.5569966999992</v>
      </c>
      <c r="I89" s="7">
        <f ca="1">SUM(OFFSET($A$73,2,8,14,1))</f>
        <v>287.0928973</v>
      </c>
      <c r="J89" s="7">
        <f ca="1">SUM(OFFSET($A$73,2,9,14,1))</f>
        <v>1745.0478609999998</v>
      </c>
      <c r="K89" s="7">
        <f ca="1">SUM(OFFSET($A$73,2,10,14,1))</f>
        <v>46.222499200000001</v>
      </c>
      <c r="L89" s="7">
        <f ca="1">SUM(OFFSET($A$73,2,11,14,1))</f>
        <v>83.4267684</v>
      </c>
      <c r="M89" s="7">
        <f ca="1">SUM(OFFSET($A$73,2,12,14,1))</f>
        <v>113.70811350000001</v>
      </c>
      <c r="N89" s="7">
        <f ca="1">SUM(OFFSET($A$73,2,13,14,1))</f>
        <v>0</v>
      </c>
      <c r="O89" s="7">
        <f ca="1">SUM(OFFSET($A$73,2,14,14,1))</f>
        <v>0.5619364</v>
      </c>
      <c r="P89" s="7">
        <f ca="1">SUM(OFFSET($A$73,16,1,1,14))</f>
        <v>27337.420913800004</v>
      </c>
      <c r="Q89" s="7">
        <f ca="1">SUM(OFFSET($A$73,16,1,1,12))</f>
        <v>27336.858977400003</v>
      </c>
    </row>
    <row r="90" spans="1:17" x14ac:dyDescent="0.2">
      <c r="O90" s="12" t="s">
        <v>59</v>
      </c>
      <c r="P90" s="7">
        <f ca="1">SUM(OFFSET($B$75,0,0,12,12))</f>
        <v>27320.554535000014</v>
      </c>
    </row>
    <row r="91" spans="1:17" x14ac:dyDescent="0.2">
      <c r="A91" s="7" t="s">
        <v>97</v>
      </c>
    </row>
    <row r="92" spans="1:17" x14ac:dyDescent="0.2">
      <c r="B92" s="7">
        <v>1</v>
      </c>
      <c r="C92" s="7">
        <v>2</v>
      </c>
      <c r="D92" s="7">
        <v>3</v>
      </c>
      <c r="E92" s="7">
        <v>4</v>
      </c>
      <c r="F92" s="7">
        <v>5</v>
      </c>
      <c r="G92" s="7">
        <v>6</v>
      </c>
      <c r="H92" s="7">
        <v>7</v>
      </c>
      <c r="I92" s="7">
        <v>8</v>
      </c>
      <c r="J92" s="7">
        <v>9</v>
      </c>
      <c r="K92" s="7">
        <v>10</v>
      </c>
      <c r="L92" s="7">
        <v>11</v>
      </c>
      <c r="M92" s="7">
        <v>12</v>
      </c>
      <c r="N92" s="7">
        <v>13</v>
      </c>
      <c r="O92" s="7">
        <v>14</v>
      </c>
      <c r="P92" s="7" t="s">
        <v>43</v>
      </c>
      <c r="Q92" s="7" t="s">
        <v>61</v>
      </c>
    </row>
    <row r="93" spans="1:17" x14ac:dyDescent="0.2">
      <c r="A93" s="7">
        <v>1</v>
      </c>
      <c r="B93" s="7">
        <v>206.24629999999999</v>
      </c>
      <c r="C93" s="7">
        <v>7.9032790000000004</v>
      </c>
      <c r="D93" s="7">
        <v>1.523744</v>
      </c>
      <c r="E93" s="7">
        <v>2.9954000000000001E-3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f ca="1">SUM(OFFSET($A$91,2,1,1,14))</f>
        <v>215.67631839999999</v>
      </c>
      <c r="Q93" s="7">
        <f ca="1">SUM(OFFSET($A$91,2,1,1,12))</f>
        <v>215.67631839999999</v>
      </c>
    </row>
    <row r="94" spans="1:17" x14ac:dyDescent="0.2">
      <c r="A94" s="7">
        <v>2</v>
      </c>
      <c r="B94" s="7">
        <v>5.9983969999999998</v>
      </c>
      <c r="C94" s="7">
        <v>820.38019999999995</v>
      </c>
      <c r="D94" s="7">
        <v>0.41978209999999999</v>
      </c>
      <c r="E94" s="7">
        <v>0.52178480000000005</v>
      </c>
      <c r="F94" s="7">
        <v>3.97915E-2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f ca="1">SUM(OFFSET($A$91,3,1,1,14))</f>
        <v>827.35995539999988</v>
      </c>
      <c r="Q94" s="7">
        <f ca="1">SUM(OFFSET($A$91,3,1,1,12))</f>
        <v>827.35995539999988</v>
      </c>
    </row>
    <row r="95" spans="1:17" x14ac:dyDescent="0.2">
      <c r="A95" s="7">
        <v>3</v>
      </c>
      <c r="B95" s="7">
        <v>5.900957</v>
      </c>
      <c r="C95" s="7">
        <v>2.4055029999999999</v>
      </c>
      <c r="D95" s="7">
        <v>21994.22</v>
      </c>
      <c r="E95" s="7">
        <v>449.15440000000001</v>
      </c>
      <c r="F95" s="7">
        <v>0.5784705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f ca="1">SUM(OFFSET($A$91,4,1,1,14))</f>
        <v>22452.259330500001</v>
      </c>
      <c r="Q95" s="7">
        <f ca="1">SUM(OFFSET($A$91,4,1,1,12))</f>
        <v>22452.259330500001</v>
      </c>
    </row>
    <row r="96" spans="1:17" x14ac:dyDescent="0.2">
      <c r="A96" s="7">
        <v>4</v>
      </c>
      <c r="B96" s="7">
        <v>1.8116E-3</v>
      </c>
      <c r="C96" s="7">
        <v>1.2416769999999999</v>
      </c>
      <c r="D96" s="7">
        <v>279.3066</v>
      </c>
      <c r="E96" s="7">
        <v>5612.7049999999999</v>
      </c>
      <c r="F96" s="7">
        <v>150.74369999999999</v>
      </c>
      <c r="G96" s="7">
        <v>0</v>
      </c>
      <c r="H96" s="7">
        <v>10.761950000000001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f ca="1">SUM(OFFSET($A$91,5,1,1,14))</f>
        <v>6054.7607386</v>
      </c>
      <c r="Q96" s="7">
        <f ca="1">SUM(OFFSET($A$91,5,1,1,12))</f>
        <v>6054.7607386</v>
      </c>
    </row>
    <row r="97" spans="1:17" x14ac:dyDescent="0.2">
      <c r="A97" s="7">
        <v>5</v>
      </c>
      <c r="B97" s="7">
        <v>0</v>
      </c>
      <c r="C97" s="7">
        <v>0.1179461</v>
      </c>
      <c r="D97" s="7">
        <v>0.57804849999999997</v>
      </c>
      <c r="E97" s="7">
        <v>56.708080000000002</v>
      </c>
      <c r="F97" s="7">
        <v>1569.6010000000001</v>
      </c>
      <c r="G97" s="7">
        <v>18.629259999999999</v>
      </c>
      <c r="H97" s="7">
        <v>1.0058910000000001</v>
      </c>
      <c r="I97" s="7">
        <v>1.1141490000000001</v>
      </c>
      <c r="J97" s="7">
        <v>1.364514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f ca="1">SUM(OFFSET($A$91,6,1,1,14))</f>
        <v>1649.1188886000002</v>
      </c>
      <c r="Q97" s="7">
        <f ca="1">SUM(OFFSET($A$91,6,1,1,12))</f>
        <v>1649.1188886000002</v>
      </c>
    </row>
    <row r="98" spans="1:17" x14ac:dyDescent="0.2">
      <c r="A98" s="7">
        <v>6</v>
      </c>
      <c r="B98" s="7">
        <v>0</v>
      </c>
      <c r="C98" s="7">
        <v>0</v>
      </c>
      <c r="D98" s="7">
        <v>0</v>
      </c>
      <c r="E98" s="7">
        <v>0</v>
      </c>
      <c r="F98" s="7">
        <v>13.8972</v>
      </c>
      <c r="G98" s="7">
        <v>524.26080000000002</v>
      </c>
      <c r="H98" s="7">
        <v>0</v>
      </c>
      <c r="I98" s="7">
        <v>0</v>
      </c>
      <c r="J98" s="7">
        <v>4.8735999999999996E-3</v>
      </c>
      <c r="K98" s="7">
        <v>0</v>
      </c>
      <c r="L98" s="7">
        <v>4.5116000000000002E-3</v>
      </c>
      <c r="M98" s="7">
        <v>0</v>
      </c>
      <c r="N98" s="7">
        <v>0</v>
      </c>
      <c r="O98" s="7">
        <v>0</v>
      </c>
      <c r="P98" s="7">
        <f ca="1">SUM(OFFSET($A$91,7,1,1,14))</f>
        <v>538.16738520000001</v>
      </c>
      <c r="Q98" s="7">
        <f ca="1">SUM(OFFSET($A$91,7,1,1,12))</f>
        <v>538.16738520000001</v>
      </c>
    </row>
    <row r="99" spans="1:17" x14ac:dyDescent="0.2">
      <c r="A99" s="7">
        <v>7</v>
      </c>
      <c r="B99" s="7">
        <v>0</v>
      </c>
      <c r="C99" s="7">
        <v>0</v>
      </c>
      <c r="D99" s="7">
        <v>0</v>
      </c>
      <c r="E99" s="7">
        <v>2.1042339999999999</v>
      </c>
      <c r="F99" s="7">
        <v>1.3966529999999999</v>
      </c>
      <c r="G99" s="7">
        <v>0</v>
      </c>
      <c r="H99" s="7">
        <v>908.64200000000005</v>
      </c>
      <c r="I99" s="7">
        <v>2.9244599999999999E-2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f ca="1">SUM(OFFSET($A$91,8,1,1,14))</f>
        <v>912.17213160000006</v>
      </c>
      <c r="Q99" s="7">
        <f ca="1">SUM(OFFSET($A$91,8,1,1,12))</f>
        <v>912.17213160000006</v>
      </c>
    </row>
    <row r="100" spans="1:17" x14ac:dyDescent="0.2">
      <c r="A100" s="7">
        <v>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3.7409999999999999E-4</v>
      </c>
      <c r="I100" s="7">
        <v>175.66640000000001</v>
      </c>
      <c r="J100" s="7">
        <v>2.49429E-2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f ca="1">SUM(OFFSET($A$91,9,1,1,14))</f>
        <v>175.69171700000001</v>
      </c>
      <c r="Q100" s="7">
        <f ca="1">SUM(OFFSET($A$91,9,1,1,12))</f>
        <v>175.69171700000001</v>
      </c>
    </row>
    <row r="101" spans="1:17" x14ac:dyDescent="0.2">
      <c r="A101" s="7">
        <v>9</v>
      </c>
      <c r="B101" s="7">
        <v>0</v>
      </c>
      <c r="C101" s="7">
        <v>0</v>
      </c>
      <c r="D101" s="7">
        <v>0</v>
      </c>
      <c r="E101" s="7">
        <v>0</v>
      </c>
      <c r="F101" s="7">
        <v>0.21369440000000001</v>
      </c>
      <c r="G101" s="7">
        <v>9.1985999999999995E-3</v>
      </c>
      <c r="H101" s="7">
        <v>1.1466E-3</v>
      </c>
      <c r="I101" s="7">
        <v>0.1883852</v>
      </c>
      <c r="J101" s="7">
        <v>653.18899999999996</v>
      </c>
      <c r="K101" s="7">
        <v>6.8356E-2</v>
      </c>
      <c r="L101" s="7">
        <v>2.354E-4</v>
      </c>
      <c r="M101" s="7">
        <v>21.910810000000001</v>
      </c>
      <c r="N101" s="7">
        <v>0</v>
      </c>
      <c r="O101" s="7">
        <v>0</v>
      </c>
      <c r="P101" s="7">
        <f ca="1">SUM(OFFSET($A$91,10,1,1,14))</f>
        <v>675.58082619999993</v>
      </c>
      <c r="Q101" s="7">
        <f ca="1">SUM(OFFSET($A$91,10,1,1,12))</f>
        <v>675.58082619999993</v>
      </c>
    </row>
    <row r="102" spans="1:17" x14ac:dyDescent="0.2">
      <c r="A102" s="7">
        <v>10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0.26330199999999998</v>
      </c>
      <c r="K102" s="7">
        <v>277.97190000000001</v>
      </c>
      <c r="L102" s="7">
        <v>0</v>
      </c>
      <c r="M102" s="7">
        <v>8.7883000000000006E-3</v>
      </c>
      <c r="N102" s="7">
        <v>0</v>
      </c>
      <c r="O102" s="7">
        <v>0</v>
      </c>
      <c r="P102" s="7">
        <f ca="1">SUM(OFFSET($A$91,11,1,1,14))</f>
        <v>278.24399030000001</v>
      </c>
      <c r="Q102" s="7">
        <f ca="1">SUM(OFFSET($A$91,11,1,1,12))</f>
        <v>278.24399030000001</v>
      </c>
    </row>
    <row r="103" spans="1:17" x14ac:dyDescent="0.2">
      <c r="A103" s="7">
        <v>11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1.0994200000000001E-2</v>
      </c>
      <c r="H103" s="7">
        <v>0</v>
      </c>
      <c r="I103" s="7">
        <v>0</v>
      </c>
      <c r="J103" s="7">
        <v>1.25075E-2</v>
      </c>
      <c r="K103" s="7">
        <v>0</v>
      </c>
      <c r="L103" s="7">
        <v>209.72710000000001</v>
      </c>
      <c r="M103" s="7">
        <v>5.1949599999999999E-2</v>
      </c>
      <c r="N103" s="7">
        <v>3.8061000000000002E-3</v>
      </c>
      <c r="O103" s="7">
        <v>0</v>
      </c>
      <c r="P103" s="7">
        <f ca="1">SUM(OFFSET($A$91,12,1,1,14))</f>
        <v>209.8063574</v>
      </c>
      <c r="Q103" s="7">
        <f ca="1">SUM(OFFSET($A$91,12,1,1,12))</f>
        <v>209.8025513</v>
      </c>
    </row>
    <row r="104" spans="1:17" x14ac:dyDescent="0.2">
      <c r="A104" s="7">
        <v>12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10.984920000000001</v>
      </c>
      <c r="K104" s="7">
        <v>0.14331820000000001</v>
      </c>
      <c r="L104" s="7">
        <v>9.7747100000000003E-2</v>
      </c>
      <c r="M104" s="7">
        <v>598.00649999999996</v>
      </c>
      <c r="N104" s="7">
        <v>0</v>
      </c>
      <c r="O104" s="7">
        <v>4.6084399999999998E-2</v>
      </c>
      <c r="P104" s="7">
        <f ca="1">SUM(OFFSET($A$91,13,1,1,14))</f>
        <v>609.27856970000005</v>
      </c>
      <c r="Q104" s="7">
        <f ca="1">SUM(OFFSET($A$91,13,1,1,12))</f>
        <v>609.23248530000001</v>
      </c>
    </row>
    <row r="105" spans="1:17" x14ac:dyDescent="0.2">
      <c r="A105" s="7">
        <v>13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4.7863999999999997E-3</v>
      </c>
      <c r="M105" s="7">
        <v>0</v>
      </c>
      <c r="N105" s="7">
        <v>77.52834</v>
      </c>
      <c r="O105" s="7">
        <v>9.3089000000000002E-3</v>
      </c>
      <c r="P105" s="7">
        <f ca="1">SUM(OFFSET($A$91,14,1,1,14))</f>
        <v>77.542435299999994</v>
      </c>
      <c r="Q105" s="7">
        <f ca="1">SUM(OFFSET($A$91,14,1,1,12))</f>
        <v>4.7863999999999997E-3</v>
      </c>
    </row>
    <row r="106" spans="1:17" x14ac:dyDescent="0.2">
      <c r="A106" s="7">
        <v>14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6.8171700000000002E-2</v>
      </c>
      <c r="N106" s="7">
        <v>8.2790299999999997E-2</v>
      </c>
      <c r="O106" s="7">
        <v>875.11329999999998</v>
      </c>
      <c r="P106" s="7">
        <f ca="1">SUM(OFFSET($A$91,15,1,1,14))</f>
        <v>875.26426200000003</v>
      </c>
      <c r="Q106" s="7">
        <f ca="1">SUM(OFFSET($A$91,15,1,1,12))</f>
        <v>6.8171700000000002E-2</v>
      </c>
    </row>
    <row r="107" spans="1:17" x14ac:dyDescent="0.2">
      <c r="A107" s="7" t="s">
        <v>43</v>
      </c>
      <c r="B107" s="7">
        <f ca="1">SUM(OFFSET($A$91,2,1,14,1))</f>
        <v>218.1474656</v>
      </c>
      <c r="C107" s="7">
        <f ca="1">SUM(OFFSET($A$91,2,2,14,1))</f>
        <v>832.04860509999992</v>
      </c>
      <c r="D107" s="7">
        <f ca="1">SUM(OFFSET($A$91,2,3,14,1))</f>
        <v>22276.0481746</v>
      </c>
      <c r="E107" s="7">
        <f ca="1">SUM(OFFSET($A$91,2,4,14,1))</f>
        <v>6121.1964942000004</v>
      </c>
      <c r="F107" s="7">
        <f ca="1">SUM(OFFSET($A$91,2,5,14,1))</f>
        <v>1736.4705094000001</v>
      </c>
      <c r="G107" s="7">
        <f ca="1">SUM(OFFSET($A$91,2,6,14,1))</f>
        <v>542.91025280000008</v>
      </c>
      <c r="H107" s="7">
        <f ca="1">SUM(OFFSET($A$91,2,7,14,1))</f>
        <v>920.41136170000004</v>
      </c>
      <c r="I107" s="7">
        <f ca="1">SUM(OFFSET($A$91,2,8,14,1))</f>
        <v>176.99817880000001</v>
      </c>
      <c r="J107" s="7">
        <f ca="1">SUM(OFFSET($A$91,2,9,14,1))</f>
        <v>665.8440599999999</v>
      </c>
      <c r="K107" s="7">
        <f ca="1">SUM(OFFSET($A$91,2,10,14,1))</f>
        <v>278.18357420000001</v>
      </c>
      <c r="L107" s="7">
        <f ca="1">SUM(OFFSET($A$91,2,11,14,1))</f>
        <v>209.83438050000001</v>
      </c>
      <c r="M107" s="7">
        <f ca="1">SUM(OFFSET($A$91,2,12,14,1))</f>
        <v>620.04621959999997</v>
      </c>
      <c r="N107" s="7">
        <f ca="1">SUM(OFFSET($A$91,2,13,14,1))</f>
        <v>77.614936400000005</v>
      </c>
      <c r="O107" s="7">
        <f ca="1">SUM(OFFSET($A$91,2,14,14,1))</f>
        <v>875.16869329999997</v>
      </c>
      <c r="P107" s="7">
        <f ca="1">SUM(OFFSET($A$91,16,1,1,14))</f>
        <v>35550.922906200001</v>
      </c>
      <c r="Q107" s="7">
        <f ca="1">SUM(OFFSET($A$91,16,1,1,12))</f>
        <v>34598.139276499998</v>
      </c>
    </row>
    <row r="108" spans="1:17" x14ac:dyDescent="0.2">
      <c r="O108" s="12" t="s">
        <v>59</v>
      </c>
      <c r="P108" s="7">
        <f ca="1">SUM(OFFSET($B$93,0,0,12,12))</f>
        <v>34598.066318400008</v>
      </c>
    </row>
    <row r="109" spans="1:17" x14ac:dyDescent="0.2">
      <c r="A109" s="7" t="s">
        <v>99</v>
      </c>
    </row>
    <row r="110" spans="1:17" x14ac:dyDescent="0.2">
      <c r="B110" s="7">
        <v>1</v>
      </c>
      <c r="C110" s="7">
        <v>2</v>
      </c>
      <c r="D110" s="7">
        <v>3</v>
      </c>
      <c r="E110" s="7">
        <v>4</v>
      </c>
      <c r="F110" s="7">
        <v>5</v>
      </c>
      <c r="G110" s="7">
        <v>6</v>
      </c>
      <c r="H110" s="7">
        <v>7</v>
      </c>
      <c r="I110" s="7">
        <v>8</v>
      </c>
      <c r="J110" s="7">
        <v>9</v>
      </c>
      <c r="K110" s="7">
        <v>10</v>
      </c>
      <c r="L110" s="7">
        <v>11</v>
      </c>
      <c r="M110" s="7">
        <v>12</v>
      </c>
      <c r="N110" s="7">
        <v>13</v>
      </c>
      <c r="O110" s="7">
        <v>14</v>
      </c>
      <c r="P110" s="7" t="s">
        <v>43</v>
      </c>
      <c r="Q110" s="7" t="s">
        <v>61</v>
      </c>
    </row>
    <row r="111" spans="1:17" x14ac:dyDescent="0.2">
      <c r="A111" s="7">
        <v>1</v>
      </c>
      <c r="B111" s="7">
        <v>6.2279739999999997</v>
      </c>
      <c r="C111" s="7">
        <v>1.648725</v>
      </c>
      <c r="D111" s="7">
        <v>5.0917690000000002</v>
      </c>
      <c r="E111" s="7">
        <v>1.7512509999999999</v>
      </c>
      <c r="F111" s="7">
        <v>1.11745E-2</v>
      </c>
      <c r="G111" s="7">
        <v>0</v>
      </c>
      <c r="H111" s="7">
        <v>2.0369999999999999E-4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f ca="1">SUM(OFFSET($A$109,2,1,1,14))</f>
        <v>14.731097199999999</v>
      </c>
      <c r="Q111" s="7">
        <f ca="1">SUM(OFFSET($A$109,2,1,1,12))</f>
        <v>14.731097199999999</v>
      </c>
    </row>
    <row r="112" spans="1:17" x14ac:dyDescent="0.2">
      <c r="A112" s="7">
        <v>2</v>
      </c>
      <c r="B112" s="7">
        <v>3.7434720000000001</v>
      </c>
      <c r="C112" s="7">
        <v>46.346739999999997</v>
      </c>
      <c r="D112" s="7">
        <v>13.323829999999999</v>
      </c>
      <c r="E112" s="7">
        <v>15.29508</v>
      </c>
      <c r="F112" s="7">
        <v>1.175233</v>
      </c>
      <c r="G112" s="7">
        <v>6.3952999999999996E-3</v>
      </c>
      <c r="H112" s="7">
        <v>1.3408999999999999E-3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f ca="1">SUM(OFFSET($A$109,3,1,1,14))</f>
        <v>79.892091199999996</v>
      </c>
      <c r="Q112" s="7">
        <f ca="1">SUM(OFFSET($A$109,3,1,1,12))</f>
        <v>79.892091199999996</v>
      </c>
    </row>
    <row r="113" spans="1:17" x14ac:dyDescent="0.2">
      <c r="A113" s="7">
        <v>3</v>
      </c>
      <c r="B113" s="7">
        <v>43.753790000000002</v>
      </c>
      <c r="C113" s="7">
        <v>51.064070000000001</v>
      </c>
      <c r="D113" s="7">
        <v>768.79859999999996</v>
      </c>
      <c r="E113" s="7">
        <v>1261.711</v>
      </c>
      <c r="F113" s="7">
        <v>52.995170000000002</v>
      </c>
      <c r="G113" s="7">
        <v>0.11252860000000001</v>
      </c>
      <c r="H113" s="7">
        <v>14.87017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f ca="1">SUM(OFFSET($A$109,4,1,1,14))</f>
        <v>2193.3053286000004</v>
      </c>
      <c r="Q113" s="7">
        <f ca="1">SUM(OFFSET($A$109,4,1,1,12))</f>
        <v>2193.3053286000004</v>
      </c>
    </row>
    <row r="114" spans="1:17" x14ac:dyDescent="0.2">
      <c r="A114" s="7">
        <v>4</v>
      </c>
      <c r="B114" s="7">
        <v>6.1237709999999996</v>
      </c>
      <c r="C114" s="7">
        <v>27.84948</v>
      </c>
      <c r="D114" s="7">
        <v>565.85199999999998</v>
      </c>
      <c r="E114" s="7">
        <v>1755.9549999999999</v>
      </c>
      <c r="F114" s="7">
        <v>185.71709999999999</v>
      </c>
      <c r="G114" s="7">
        <v>2.2552560000000001</v>
      </c>
      <c r="H114" s="7">
        <v>66.083089999999999</v>
      </c>
      <c r="I114" s="7">
        <v>0.56637499999999996</v>
      </c>
      <c r="J114" s="7">
        <v>0.68083229999999995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f ca="1">SUM(OFFSET($A$109,5,1,1,14))</f>
        <v>2611.0829042999999</v>
      </c>
      <c r="Q114" s="7">
        <f ca="1">SUM(OFFSET($A$109,5,1,1,12))</f>
        <v>2611.0829042999999</v>
      </c>
    </row>
    <row r="115" spans="1:17" x14ac:dyDescent="0.2">
      <c r="A115" s="7">
        <v>5</v>
      </c>
      <c r="B115" s="7">
        <v>4.30771E-2</v>
      </c>
      <c r="C115" s="7">
        <v>1.7180880000000001</v>
      </c>
      <c r="D115" s="7">
        <v>29.80189</v>
      </c>
      <c r="E115" s="7">
        <v>110.8186</v>
      </c>
      <c r="F115" s="7">
        <v>99.009119999999996</v>
      </c>
      <c r="G115" s="7">
        <v>7.2723829999999996</v>
      </c>
      <c r="H115" s="7">
        <v>1.1985300000000001</v>
      </c>
      <c r="I115" s="7">
        <v>0.75759069999999995</v>
      </c>
      <c r="J115" s="7">
        <v>3.623078</v>
      </c>
      <c r="K115" s="7">
        <v>0</v>
      </c>
      <c r="L115" s="7">
        <v>5.1130000000000004E-3</v>
      </c>
      <c r="M115" s="7">
        <v>0</v>
      </c>
      <c r="N115" s="7">
        <v>0</v>
      </c>
      <c r="O115" s="7">
        <v>0</v>
      </c>
      <c r="P115" s="7">
        <f ca="1">SUM(OFFSET($A$109,6,1,1,14))</f>
        <v>254.24746979999998</v>
      </c>
      <c r="Q115" s="7">
        <f ca="1">SUM(OFFSET($A$109,6,1,1,12))</f>
        <v>254.24746979999998</v>
      </c>
    </row>
    <row r="116" spans="1:17" x14ac:dyDescent="0.2">
      <c r="A116" s="7">
        <v>6</v>
      </c>
      <c r="B116" s="7">
        <v>0</v>
      </c>
      <c r="C116" s="7">
        <v>1.1673899999999999E-2</v>
      </c>
      <c r="D116" s="7">
        <v>0.22924040000000001</v>
      </c>
      <c r="E116" s="7">
        <v>1.391235</v>
      </c>
      <c r="F116" s="7">
        <v>3.4496470000000001</v>
      </c>
      <c r="G116" s="7">
        <v>23.86206</v>
      </c>
      <c r="H116" s="7">
        <v>3.5961999999999999E-3</v>
      </c>
      <c r="I116" s="7">
        <v>1.63482E-2</v>
      </c>
      <c r="J116" s="7">
        <v>0.41895729999999998</v>
      </c>
      <c r="K116" s="7">
        <v>0</v>
      </c>
      <c r="L116" s="7">
        <v>0.32349480000000003</v>
      </c>
      <c r="M116" s="7">
        <v>9.6340000000000002E-3</v>
      </c>
      <c r="N116" s="7">
        <v>0</v>
      </c>
      <c r="O116" s="7">
        <v>0</v>
      </c>
      <c r="P116" s="7">
        <f ca="1">SUM(OFFSET($A$109,7,1,1,14))</f>
        <v>29.715886799999996</v>
      </c>
      <c r="Q116" s="7">
        <f ca="1">SUM(OFFSET($A$109,7,1,1,12))</f>
        <v>29.715886799999996</v>
      </c>
    </row>
    <row r="117" spans="1:17" x14ac:dyDescent="0.2">
      <c r="A117" s="7">
        <v>7</v>
      </c>
      <c r="B117" s="7">
        <v>3.4799999999999999E-5</v>
      </c>
      <c r="C117" s="7">
        <v>3.6000000000000002E-4</v>
      </c>
      <c r="D117" s="7">
        <v>2.5253839999999999</v>
      </c>
      <c r="E117" s="7">
        <v>19.81915</v>
      </c>
      <c r="F117" s="7">
        <v>0.35218359999999999</v>
      </c>
      <c r="G117" s="7">
        <v>7.0733000000000002E-3</v>
      </c>
      <c r="H117" s="7">
        <v>34.538580000000003</v>
      </c>
      <c r="I117" s="7">
        <v>0.2428604</v>
      </c>
      <c r="J117" s="7">
        <v>4.1923000000000002E-2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f ca="1">SUM(OFFSET($A$109,8,1,1,14))</f>
        <v>57.527549100000002</v>
      </c>
      <c r="Q117" s="7">
        <f ca="1">SUM(OFFSET($A$109,8,1,1,12))</f>
        <v>57.527549100000002</v>
      </c>
    </row>
    <row r="118" spans="1:17" x14ac:dyDescent="0.2">
      <c r="A118" s="7">
        <v>8</v>
      </c>
      <c r="B118" s="7">
        <v>0</v>
      </c>
      <c r="C118" s="7">
        <v>0</v>
      </c>
      <c r="D118" s="7">
        <v>0</v>
      </c>
      <c r="E118" s="7">
        <v>5.7081399999999997E-2</v>
      </c>
      <c r="F118" s="7">
        <v>1.8093E-3</v>
      </c>
      <c r="G118" s="7">
        <v>1.3E-6</v>
      </c>
      <c r="H118" s="7">
        <v>0.20121330000000001</v>
      </c>
      <c r="I118" s="7">
        <v>4.9959189999999998</v>
      </c>
      <c r="J118" s="7">
        <v>4.8590399999999999E-2</v>
      </c>
      <c r="K118" s="7">
        <v>1.5226E-3</v>
      </c>
      <c r="L118" s="7">
        <v>0</v>
      </c>
      <c r="M118" s="7">
        <v>0</v>
      </c>
      <c r="N118" s="7">
        <v>0</v>
      </c>
      <c r="O118" s="7">
        <v>0</v>
      </c>
      <c r="P118" s="7">
        <f ca="1">SUM(OFFSET($A$109,9,1,1,14))</f>
        <v>5.3061373000000005</v>
      </c>
      <c r="Q118" s="7">
        <f ca="1">SUM(OFFSET($A$109,9,1,1,12))</f>
        <v>5.3061373000000005</v>
      </c>
    </row>
    <row r="119" spans="1:17" x14ac:dyDescent="0.2">
      <c r="A119" s="7">
        <v>9</v>
      </c>
      <c r="B119" s="7">
        <v>0</v>
      </c>
      <c r="C119" s="7">
        <v>0</v>
      </c>
      <c r="D119" s="7">
        <v>0</v>
      </c>
      <c r="E119" s="7">
        <v>0.1210548</v>
      </c>
      <c r="F119" s="7">
        <v>1.2707630000000001</v>
      </c>
      <c r="G119" s="7">
        <v>0.43109069999999999</v>
      </c>
      <c r="H119" s="7">
        <v>8.7985400000000005E-2</v>
      </c>
      <c r="I119" s="7">
        <v>0.52482010000000001</v>
      </c>
      <c r="J119" s="7">
        <v>32.387839999999997</v>
      </c>
      <c r="K119" s="7">
        <v>0.54697430000000002</v>
      </c>
      <c r="L119" s="7">
        <v>4.4970599999999999E-2</v>
      </c>
      <c r="M119" s="7">
        <v>2.8535919999999999</v>
      </c>
      <c r="N119" s="7">
        <v>0</v>
      </c>
      <c r="O119" s="7">
        <v>0</v>
      </c>
      <c r="P119" s="7">
        <f ca="1">SUM(OFFSET($A$109,10,1,1,14))</f>
        <v>38.269090899999995</v>
      </c>
      <c r="Q119" s="7">
        <f ca="1">SUM(OFFSET($A$109,10,1,1,12))</f>
        <v>38.269090899999995</v>
      </c>
    </row>
    <row r="120" spans="1:17" x14ac:dyDescent="0.2">
      <c r="A120" s="7">
        <v>10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4.5307000000000004E-3</v>
      </c>
      <c r="J120" s="7">
        <v>0.76350750000000001</v>
      </c>
      <c r="K120" s="7">
        <v>8.8071610000000007</v>
      </c>
      <c r="L120" s="7">
        <v>0</v>
      </c>
      <c r="M120" s="7">
        <v>0.1163636</v>
      </c>
      <c r="N120" s="7">
        <v>0</v>
      </c>
      <c r="O120" s="7">
        <v>0</v>
      </c>
      <c r="P120" s="7">
        <f ca="1">SUM(OFFSET($A$109,11,1,1,14))</f>
        <v>9.6915627999999998</v>
      </c>
      <c r="Q120" s="7">
        <f ca="1">SUM(OFFSET($A$109,11,1,1,12))</f>
        <v>9.6915627999999998</v>
      </c>
    </row>
    <row r="121" spans="1:17" x14ac:dyDescent="0.2">
      <c r="A121" s="7">
        <v>11</v>
      </c>
      <c r="B121" s="7">
        <v>0</v>
      </c>
      <c r="C121" s="7">
        <v>0</v>
      </c>
      <c r="D121" s="7">
        <v>0</v>
      </c>
      <c r="E121" s="7">
        <v>0</v>
      </c>
      <c r="F121" s="7">
        <v>1.4773E-3</v>
      </c>
      <c r="G121" s="7">
        <v>0.33443230000000002</v>
      </c>
      <c r="H121" s="7">
        <v>0</v>
      </c>
      <c r="I121" s="7">
        <v>0</v>
      </c>
      <c r="J121" s="7">
        <v>8.3884799999999995E-2</v>
      </c>
      <c r="K121" s="7">
        <v>0</v>
      </c>
      <c r="L121" s="7">
        <v>9.0541079999999994</v>
      </c>
      <c r="M121" s="7">
        <v>0.22286230000000001</v>
      </c>
      <c r="N121" s="7">
        <v>2.0398300000000001E-2</v>
      </c>
      <c r="O121" s="7">
        <v>1.153E-4</v>
      </c>
      <c r="P121" s="7">
        <f ca="1">SUM(OFFSET($A$109,12,1,1,14))</f>
        <v>9.7172782999999985</v>
      </c>
      <c r="Q121" s="7">
        <f ca="1">SUM(OFFSET($A$109,12,1,1,12))</f>
        <v>9.6967646999999992</v>
      </c>
    </row>
    <row r="122" spans="1:17" x14ac:dyDescent="0.2">
      <c r="A122" s="7">
        <v>12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1.6795000000000001E-2</v>
      </c>
      <c r="H122" s="7">
        <v>0</v>
      </c>
      <c r="I122" s="7">
        <v>0</v>
      </c>
      <c r="J122" s="7">
        <v>2.0295930000000002</v>
      </c>
      <c r="K122" s="7">
        <v>0.34382740000000001</v>
      </c>
      <c r="L122" s="7">
        <v>0.27700130000000001</v>
      </c>
      <c r="M122" s="7">
        <v>19.790749999999999</v>
      </c>
      <c r="N122" s="7">
        <v>7.9900000000000004E-5</v>
      </c>
      <c r="O122" s="7">
        <v>0.52743189999999995</v>
      </c>
      <c r="P122" s="7">
        <f ca="1">SUM(OFFSET($A$109,13,1,1,14))</f>
        <v>22.985478499999999</v>
      </c>
      <c r="Q122" s="7">
        <f ca="1">SUM(OFFSET($A$109,13,1,1,12))</f>
        <v>22.4579667</v>
      </c>
    </row>
    <row r="123" spans="1:17" x14ac:dyDescent="0.2">
      <c r="A123" s="7">
        <v>13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2.6227299999999999E-2</v>
      </c>
      <c r="M123" s="7">
        <v>6.5300000000000002E-5</v>
      </c>
      <c r="N123" s="7">
        <v>3.0080420000000001</v>
      </c>
      <c r="O123" s="7">
        <v>0.1504945</v>
      </c>
      <c r="P123" s="7">
        <f ca="1">SUM(OFFSET($A$109,14,1,1,14))</f>
        <v>3.1848291000000004</v>
      </c>
      <c r="Q123" s="7">
        <f ca="1">SUM(OFFSET($A$109,14,1,1,12))</f>
        <v>2.6292599999999999E-2</v>
      </c>
    </row>
    <row r="124" spans="1:17" x14ac:dyDescent="0.2">
      <c r="A124" s="7">
        <v>14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7.47E-5</v>
      </c>
      <c r="M124" s="7">
        <v>0.33384619999999998</v>
      </c>
      <c r="N124" s="7">
        <v>0.2339792</v>
      </c>
      <c r="O124" s="7">
        <v>39.499200000000002</v>
      </c>
      <c r="P124" s="7">
        <f ca="1">SUM(OFFSET($A$109,15,1,1,14))</f>
        <v>40.067100100000005</v>
      </c>
      <c r="Q124" s="7">
        <f ca="1">SUM(OFFSET($A$109,15,1,1,12))</f>
        <v>0.33392089999999996</v>
      </c>
    </row>
    <row r="125" spans="1:17" x14ac:dyDescent="0.2">
      <c r="A125" s="7" t="s">
        <v>43</v>
      </c>
      <c r="B125" s="7">
        <f ca="1">SUM(OFFSET($A$109,2,1,14,1))</f>
        <v>59.8921189</v>
      </c>
      <c r="C125" s="7">
        <f ca="1">SUM(OFFSET($A$109,2,2,14,1))</f>
        <v>128.63913690000001</v>
      </c>
      <c r="D125" s="7">
        <f ca="1">SUM(OFFSET($A$109,2,3,14,1))</f>
        <v>1385.6227133999998</v>
      </c>
      <c r="E125" s="7">
        <f ca="1">SUM(OFFSET($A$109,2,4,14,1))</f>
        <v>3166.9194521999993</v>
      </c>
      <c r="F125" s="7">
        <f ca="1">SUM(OFFSET($A$109,2,5,14,1))</f>
        <v>343.98367769999999</v>
      </c>
      <c r="G125" s="7">
        <f ca="1">SUM(OFFSET($A$109,2,6,14,1))</f>
        <v>34.298015500000005</v>
      </c>
      <c r="H125" s="7">
        <f ca="1">SUM(OFFSET($A$109,2,7,14,1))</f>
        <v>116.98470950000002</v>
      </c>
      <c r="I125" s="7">
        <f ca="1">SUM(OFFSET($A$109,2,8,14,1))</f>
        <v>7.1084441000000007</v>
      </c>
      <c r="J125" s="7">
        <f ca="1">SUM(OFFSET($A$109,2,9,14,1))</f>
        <v>40.078206299999998</v>
      </c>
      <c r="K125" s="7">
        <f ca="1">SUM(OFFSET($A$109,2,10,14,1))</f>
        <v>9.699485300000001</v>
      </c>
      <c r="L125" s="7">
        <f ca="1">SUM(OFFSET($A$109,2,11,14,1))</f>
        <v>9.7309897000000003</v>
      </c>
      <c r="M125" s="7">
        <f ca="1">SUM(OFFSET($A$109,2,12,14,1))</f>
        <v>23.327113399999998</v>
      </c>
      <c r="N125" s="7">
        <f ca="1">SUM(OFFSET($A$109,2,13,14,1))</f>
        <v>3.2624993999999998</v>
      </c>
      <c r="O125" s="7">
        <f ca="1">SUM(OFFSET($A$109,2,14,14,1))</f>
        <v>40.177241700000003</v>
      </c>
      <c r="P125" s="7">
        <f ca="1">SUM(OFFSET($A$109,16,1,1,14))</f>
        <v>5369.7238039999984</v>
      </c>
      <c r="Q125" s="7">
        <f ca="1">SUM(OFFSET($A$109,16,1,1,12))</f>
        <v>5326.2840628999984</v>
      </c>
    </row>
    <row r="126" spans="1:17" x14ac:dyDescent="0.2">
      <c r="O126" s="12" t="s">
        <v>59</v>
      </c>
      <c r="P126" s="7">
        <f ca="1">SUM(OFFSET($B$111,0,0,12,12))</f>
        <v>5325.9238494000019</v>
      </c>
    </row>
    <row r="127" spans="1:17" x14ac:dyDescent="0.2">
      <c r="A127" s="7" t="s">
        <v>101</v>
      </c>
    </row>
    <row r="128" spans="1:17" x14ac:dyDescent="0.2">
      <c r="B128" s="7">
        <v>1</v>
      </c>
      <c r="C128" s="7">
        <v>2</v>
      </c>
      <c r="D128" s="7">
        <v>3</v>
      </c>
      <c r="E128" s="7">
        <v>4</v>
      </c>
      <c r="F128" s="7">
        <v>5</v>
      </c>
      <c r="G128" s="7">
        <v>6</v>
      </c>
      <c r="H128" s="7">
        <v>7</v>
      </c>
      <c r="I128" s="7">
        <v>8</v>
      </c>
      <c r="J128" s="7">
        <v>9</v>
      </c>
      <c r="K128" s="7">
        <v>10</v>
      </c>
      <c r="L128" s="7">
        <v>11</v>
      </c>
      <c r="M128" s="7">
        <v>12</v>
      </c>
      <c r="N128" s="7">
        <v>13</v>
      </c>
      <c r="O128" s="7">
        <v>14</v>
      </c>
      <c r="P128" s="7" t="s">
        <v>43</v>
      </c>
      <c r="Q128" s="7" t="s">
        <v>61</v>
      </c>
    </row>
    <row r="129" spans="1:17" x14ac:dyDescent="0.2">
      <c r="A129" s="7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f ca="1">SUM(OFFSET($A$127,2,1,1,14))</f>
        <v>0</v>
      </c>
      <c r="Q129" s="7">
        <f ca="1">SUM(OFFSET($A$127,2,1,1,12))</f>
        <v>0</v>
      </c>
    </row>
    <row r="130" spans="1:17" x14ac:dyDescent="0.2">
      <c r="A130" s="7">
        <v>2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f ca="1">SUM(OFFSET($A$127,3,1,1,14))</f>
        <v>0</v>
      </c>
      <c r="Q130" s="7">
        <f ca="1">SUM(OFFSET($A$127,3,1,1,12))</f>
        <v>0</v>
      </c>
    </row>
    <row r="131" spans="1:17" x14ac:dyDescent="0.2">
      <c r="A131" s="7">
        <v>3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f ca="1">SUM(OFFSET($A$127,4,1,1,14))</f>
        <v>0</v>
      </c>
      <c r="Q131" s="7">
        <f ca="1">SUM(OFFSET($A$127,4,1,1,12))</f>
        <v>0</v>
      </c>
    </row>
    <row r="132" spans="1:17" x14ac:dyDescent="0.2">
      <c r="A132" s="7">
        <v>4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f ca="1">SUM(OFFSET($A$127,5,1,1,14))</f>
        <v>0</v>
      </c>
      <c r="Q132" s="7">
        <f ca="1">SUM(OFFSET($A$127,5,1,1,12))</f>
        <v>0</v>
      </c>
    </row>
    <row r="133" spans="1:17" x14ac:dyDescent="0.2">
      <c r="A133" s="7">
        <v>5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f ca="1">SUM(OFFSET($A$127,6,1,1,14))</f>
        <v>0</v>
      </c>
      <c r="Q133" s="7">
        <f ca="1">SUM(OFFSET($A$127,6,1,1,12))</f>
        <v>0</v>
      </c>
    </row>
    <row r="134" spans="1:17" x14ac:dyDescent="0.2">
      <c r="A134" s="7">
        <v>6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f ca="1">SUM(OFFSET($A$127,7,1,1,14))</f>
        <v>0</v>
      </c>
      <c r="Q134" s="7">
        <f ca="1">SUM(OFFSET($A$127,7,1,1,12))</f>
        <v>0</v>
      </c>
    </row>
    <row r="135" spans="1:17" x14ac:dyDescent="0.2">
      <c r="A135" s="7">
        <v>7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f ca="1">SUM(OFFSET($A$127,8,1,1,14))</f>
        <v>0</v>
      </c>
      <c r="Q135" s="7">
        <f ca="1">SUM(OFFSET($A$127,8,1,1,12))</f>
        <v>0</v>
      </c>
    </row>
    <row r="136" spans="1:17" x14ac:dyDescent="0.2">
      <c r="A136" s="7">
        <v>8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f ca="1">SUM(OFFSET($A$127,9,1,1,14))</f>
        <v>0</v>
      </c>
      <c r="Q136" s="7">
        <f ca="1">SUM(OFFSET($A$127,9,1,1,12))</f>
        <v>0</v>
      </c>
    </row>
    <row r="137" spans="1:17" x14ac:dyDescent="0.2">
      <c r="A137" s="7">
        <v>9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f ca="1">SUM(OFFSET($A$127,10,1,1,14))</f>
        <v>0</v>
      </c>
      <c r="Q137" s="7">
        <f ca="1">SUM(OFFSET($A$127,10,1,1,12))</f>
        <v>0</v>
      </c>
    </row>
    <row r="138" spans="1:17" x14ac:dyDescent="0.2">
      <c r="A138" s="7">
        <v>10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f ca="1">SUM(OFFSET($A$127,11,1,1,14))</f>
        <v>0</v>
      </c>
      <c r="Q138" s="7">
        <f ca="1">SUM(OFFSET($A$127,11,1,1,12))</f>
        <v>0</v>
      </c>
    </row>
    <row r="139" spans="1:17" x14ac:dyDescent="0.2">
      <c r="A139" s="7">
        <v>11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f ca="1">SUM(OFFSET($A$127,12,1,1,14))</f>
        <v>0</v>
      </c>
      <c r="Q139" s="7">
        <f ca="1">SUM(OFFSET($A$127,12,1,1,12))</f>
        <v>0</v>
      </c>
    </row>
    <row r="140" spans="1:17" x14ac:dyDescent="0.2">
      <c r="A140" s="7">
        <v>12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f ca="1">SUM(OFFSET($A$127,13,1,1,14))</f>
        <v>0</v>
      </c>
      <c r="Q140" s="7">
        <f ca="1">SUM(OFFSET($A$127,13,1,1,12))</f>
        <v>0</v>
      </c>
    </row>
    <row r="141" spans="1:17" x14ac:dyDescent="0.2">
      <c r="A141" s="7">
        <v>13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f ca="1">SUM(OFFSET($A$127,14,1,1,14))</f>
        <v>0</v>
      </c>
      <c r="Q141" s="7">
        <f ca="1">SUM(OFFSET($A$127,14,1,1,12))</f>
        <v>0</v>
      </c>
    </row>
    <row r="142" spans="1:17" x14ac:dyDescent="0.2">
      <c r="A142" s="7">
        <v>14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f ca="1">SUM(OFFSET($A$127,15,1,1,14))</f>
        <v>0</v>
      </c>
      <c r="Q142" s="7">
        <f ca="1">SUM(OFFSET($A$127,15,1,1,12))</f>
        <v>0</v>
      </c>
    </row>
    <row r="143" spans="1:17" x14ac:dyDescent="0.2">
      <c r="A143" s="7" t="s">
        <v>43</v>
      </c>
      <c r="B143" s="7">
        <f ca="1">SUM(OFFSET($A$127,2,1,14,1))</f>
        <v>0</v>
      </c>
      <c r="C143" s="7">
        <f ca="1">SUM(OFFSET($A$127,2,2,14,1))</f>
        <v>0</v>
      </c>
      <c r="D143" s="7">
        <f ca="1">SUM(OFFSET($A$127,2,3,14,1))</f>
        <v>0</v>
      </c>
      <c r="E143" s="7">
        <f ca="1">SUM(OFFSET($A$127,2,4,14,1))</f>
        <v>0</v>
      </c>
      <c r="F143" s="7">
        <f ca="1">SUM(OFFSET($A$127,2,5,14,1))</f>
        <v>0</v>
      </c>
      <c r="G143" s="7">
        <f ca="1">SUM(OFFSET($A$127,2,6,14,1))</f>
        <v>0</v>
      </c>
      <c r="H143" s="7">
        <f ca="1">SUM(OFFSET($A$127,2,7,14,1))</f>
        <v>0</v>
      </c>
      <c r="I143" s="7">
        <f ca="1">SUM(OFFSET($A$127,2,8,14,1))</f>
        <v>0</v>
      </c>
      <c r="J143" s="7">
        <f ca="1">SUM(OFFSET($A$127,2,9,14,1))</f>
        <v>0</v>
      </c>
      <c r="K143" s="7">
        <f ca="1">SUM(OFFSET($A$127,2,10,14,1))</f>
        <v>0</v>
      </c>
      <c r="L143" s="7">
        <f ca="1">SUM(OFFSET($A$127,2,11,14,1))</f>
        <v>0</v>
      </c>
      <c r="M143" s="7">
        <f ca="1">SUM(OFFSET($A$127,2,12,14,1))</f>
        <v>0</v>
      </c>
      <c r="N143" s="7">
        <f ca="1">SUM(OFFSET($A$127,2,13,14,1))</f>
        <v>0</v>
      </c>
      <c r="O143" s="7">
        <f ca="1">SUM(OFFSET($A$127,2,14,14,1))</f>
        <v>0</v>
      </c>
      <c r="P143" s="7">
        <f ca="1">SUM(OFFSET($A$127,16,1,1,14))</f>
        <v>0</v>
      </c>
      <c r="Q143" s="7">
        <f ca="1">SUM(OFFSET($A$127,16,1,1,12))</f>
        <v>0</v>
      </c>
    </row>
    <row r="144" spans="1:17" x14ac:dyDescent="0.2">
      <c r="O144" s="12" t="s">
        <v>59</v>
      </c>
      <c r="P144" s="7">
        <f ca="1">SUM(OFFSET($B$129,0,0,12,12))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44"/>
  <sheetViews>
    <sheetView workbookViewId="0">
      <selection sqref="A1:XFD1048576"/>
    </sheetView>
  </sheetViews>
  <sheetFormatPr defaultColWidth="6.28515625" defaultRowHeight="11.25" x14ac:dyDescent="0.2"/>
  <cols>
    <col min="1" max="15" width="6.28515625" style="7"/>
    <col min="16" max="17" width="7.7109375" style="7" customWidth="1"/>
    <col min="18" max="18" width="40.7109375" style="7" customWidth="1"/>
    <col min="19" max="16384" width="6.28515625" style="7"/>
  </cols>
  <sheetData>
    <row r="1" spans="1:20" x14ac:dyDescent="0.2">
      <c r="A1" s="7" t="s">
        <v>87</v>
      </c>
    </row>
    <row r="2" spans="1:20" x14ac:dyDescent="0.2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 t="s">
        <v>43</v>
      </c>
      <c r="Q2" s="7" t="s">
        <v>61</v>
      </c>
      <c r="R2" s="7" t="s">
        <v>86</v>
      </c>
      <c r="S2" s="7">
        <f ca="1">OFFSET(A1,16,15)</f>
        <v>263966.15851199999</v>
      </c>
      <c r="T2" s="7">
        <f ca="1">OFFSET(A1,17,15)</f>
        <v>225112.08886830002</v>
      </c>
    </row>
    <row r="3" spans="1:20" x14ac:dyDescent="0.2">
      <c r="A3" s="7">
        <v>1</v>
      </c>
      <c r="B3" s="7">
        <v>4086.8009999999999</v>
      </c>
      <c r="C3" s="7">
        <v>1777.192</v>
      </c>
      <c r="D3" s="7">
        <v>257.48820000000001</v>
      </c>
      <c r="E3" s="7">
        <v>350.49990000000003</v>
      </c>
      <c r="F3" s="7">
        <v>70.607169999999996</v>
      </c>
      <c r="G3" s="7">
        <v>6.3803660000000004</v>
      </c>
      <c r="H3" s="7">
        <v>15.88908</v>
      </c>
      <c r="I3" s="7">
        <v>0.12998080000000001</v>
      </c>
      <c r="J3" s="7">
        <v>1.5731040000000001</v>
      </c>
      <c r="K3" s="7">
        <v>9.5371999999999992E-3</v>
      </c>
      <c r="L3" s="7">
        <v>0.1081826</v>
      </c>
      <c r="M3" s="7">
        <v>3.8231099999999997E-2</v>
      </c>
      <c r="N3" s="7">
        <v>3.2700000000000002E-5</v>
      </c>
      <c r="O3" s="7">
        <v>6.0150000000000004E-4</v>
      </c>
      <c r="P3" s="7">
        <f ca="1">SUM(OFFSET($A$1,2,1,1,14))</f>
        <v>6566.7173859000004</v>
      </c>
      <c r="Q3" s="7">
        <f ca="1">SUM(OFFSET($A$1,2,1,1,12))</f>
        <v>6566.7167517000007</v>
      </c>
      <c r="R3" s="7" t="s">
        <v>88</v>
      </c>
      <c r="S3" s="7">
        <f ca="1">OFFSET(A1,34,15)</f>
        <v>458725.11171849997</v>
      </c>
      <c r="T3" s="7">
        <f ca="1">OFFSET(A1,35,15)</f>
        <v>390813.7122312999</v>
      </c>
    </row>
    <row r="4" spans="1:20" x14ac:dyDescent="0.2">
      <c r="A4" s="7">
        <v>2</v>
      </c>
      <c r="B4" s="7">
        <v>1383.547</v>
      </c>
      <c r="C4" s="7">
        <v>10616.6</v>
      </c>
      <c r="D4" s="7">
        <v>287.33089999999999</v>
      </c>
      <c r="E4" s="7">
        <v>831.97280000000001</v>
      </c>
      <c r="F4" s="7">
        <v>578.40779999999995</v>
      </c>
      <c r="G4" s="7">
        <v>66.653499999999994</v>
      </c>
      <c r="H4" s="7">
        <v>42.781759999999998</v>
      </c>
      <c r="I4" s="7">
        <v>1.655945</v>
      </c>
      <c r="J4" s="7">
        <v>16.639720000000001</v>
      </c>
      <c r="K4" s="7">
        <v>9.8964200000000002E-2</v>
      </c>
      <c r="L4" s="7">
        <v>1.140074</v>
      </c>
      <c r="M4" s="7">
        <v>0.90622340000000001</v>
      </c>
      <c r="N4" s="7">
        <v>3.478E-4</v>
      </c>
      <c r="O4" s="7">
        <v>6.3968999999999996E-3</v>
      </c>
      <c r="P4" s="7">
        <f ca="1">SUM(OFFSET($A$1,3,1,1,14))</f>
        <v>13827.741431300003</v>
      </c>
      <c r="Q4" s="7">
        <f ca="1">SUM(OFFSET($A$1,3,1,1,12))</f>
        <v>13827.734686600003</v>
      </c>
      <c r="R4" s="7" t="s">
        <v>90</v>
      </c>
      <c r="S4" s="7">
        <f ca="1">OFFSET(A1,52,15)</f>
        <v>0</v>
      </c>
      <c r="T4" s="7">
        <f ca="1">OFFSET(A1,53,15)</f>
        <v>0</v>
      </c>
    </row>
    <row r="5" spans="1:20" x14ac:dyDescent="0.2">
      <c r="A5" s="7">
        <v>3</v>
      </c>
      <c r="B5" s="7">
        <v>204.6815</v>
      </c>
      <c r="C5" s="7">
        <v>196.4169</v>
      </c>
      <c r="D5" s="7">
        <v>2013.654</v>
      </c>
      <c r="E5" s="7">
        <v>2818.1</v>
      </c>
      <c r="F5" s="7">
        <v>238.11580000000001</v>
      </c>
      <c r="G5" s="7">
        <v>17.35256</v>
      </c>
      <c r="H5" s="7">
        <v>135.83279999999999</v>
      </c>
      <c r="I5" s="7">
        <v>2.4100079999999999</v>
      </c>
      <c r="J5" s="7">
        <v>6.5620909999999997</v>
      </c>
      <c r="K5" s="7">
        <v>0.10540620000000001</v>
      </c>
      <c r="L5" s="7">
        <v>0.1115029</v>
      </c>
      <c r="M5" s="7">
        <v>0.19507070000000001</v>
      </c>
      <c r="N5" s="7">
        <v>8.9099999999999997E-5</v>
      </c>
      <c r="O5" s="7">
        <v>1.6779E-3</v>
      </c>
      <c r="P5" s="7">
        <f ca="1">SUM(OFFSET($A$1,4,1,1,14))</f>
        <v>5633.5394057999993</v>
      </c>
      <c r="Q5" s="7">
        <f ca="1">SUM(OFFSET($A$1,4,1,1,12))</f>
        <v>5633.5376387999995</v>
      </c>
      <c r="R5" s="7" t="s">
        <v>92</v>
      </c>
      <c r="S5" s="7">
        <f ca="1">OFFSET(A1,70,15)</f>
        <v>37890.737727799999</v>
      </c>
      <c r="T5" s="7">
        <f ca="1">OFFSET(A1,71,15)</f>
        <v>36606.626580599994</v>
      </c>
    </row>
    <row r="6" spans="1:20" x14ac:dyDescent="0.2">
      <c r="A6" s="7">
        <v>4</v>
      </c>
      <c r="B6" s="7">
        <v>300.45479999999998</v>
      </c>
      <c r="C6" s="7">
        <v>730.98659999999995</v>
      </c>
      <c r="D6" s="7">
        <v>3172.4470000000001</v>
      </c>
      <c r="E6" s="7">
        <v>32420.2</v>
      </c>
      <c r="F6" s="7">
        <v>4699.1559999999999</v>
      </c>
      <c r="G6" s="7">
        <v>308.24970000000002</v>
      </c>
      <c r="H6" s="7">
        <v>2678.1489999999999</v>
      </c>
      <c r="I6" s="7">
        <v>96.104029999999995</v>
      </c>
      <c r="J6" s="7">
        <v>223.82390000000001</v>
      </c>
      <c r="K6" s="7">
        <v>8.8340709999999998</v>
      </c>
      <c r="L6" s="7">
        <v>6.139526</v>
      </c>
      <c r="M6" s="7">
        <v>6.8316499999999998</v>
      </c>
      <c r="N6" s="7">
        <v>4.3258000000000003E-3</v>
      </c>
      <c r="O6" s="7">
        <v>3.65124E-2</v>
      </c>
      <c r="P6" s="7">
        <f ca="1">SUM(OFFSET($A$1,5,1,1,14))</f>
        <v>44651.417115200005</v>
      </c>
      <c r="Q6" s="7">
        <f ca="1">SUM(OFFSET($A$1,5,1,1,12))</f>
        <v>44651.376277000003</v>
      </c>
      <c r="R6" s="7" t="s">
        <v>94</v>
      </c>
      <c r="S6" s="7">
        <f ca="1">OFFSET(A1,88,15)</f>
        <v>21197.7486297</v>
      </c>
      <c r="T6" s="7">
        <f ca="1">OFFSET(A1,89,15)</f>
        <v>21191.707930899982</v>
      </c>
    </row>
    <row r="7" spans="1:20" x14ac:dyDescent="0.2">
      <c r="A7" s="7">
        <v>5</v>
      </c>
      <c r="B7" s="7">
        <v>76.981809999999996</v>
      </c>
      <c r="C7" s="7">
        <v>609.21050000000002</v>
      </c>
      <c r="D7" s="7">
        <v>404.01</v>
      </c>
      <c r="E7" s="7">
        <v>4009.1819999999998</v>
      </c>
      <c r="F7" s="7">
        <v>18530.39</v>
      </c>
      <c r="G7" s="7">
        <v>2107.6669999999999</v>
      </c>
      <c r="H7" s="7">
        <v>492.46609999999998</v>
      </c>
      <c r="I7" s="7">
        <v>175.58250000000001</v>
      </c>
      <c r="J7" s="7">
        <v>1290.5709999999999</v>
      </c>
      <c r="K7" s="7">
        <v>36.423670000000001</v>
      </c>
      <c r="L7" s="7">
        <v>77.492350000000002</v>
      </c>
      <c r="M7" s="7">
        <v>63.827440000000003</v>
      </c>
      <c r="N7" s="7">
        <v>5.6126000000000002E-2</v>
      </c>
      <c r="O7" s="7">
        <v>0.46530280000000002</v>
      </c>
      <c r="P7" s="7">
        <f ca="1">SUM(OFFSET($A$1,6,1,1,14))</f>
        <v>27874.325798800004</v>
      </c>
      <c r="Q7" s="7">
        <f ca="1">SUM(OFFSET($A$1,6,1,1,12))</f>
        <v>27873.804370000005</v>
      </c>
      <c r="R7" s="7" t="s">
        <v>96</v>
      </c>
      <c r="S7" s="7">
        <f ca="1">OFFSET(A1,106,15)</f>
        <v>59442.973529899995</v>
      </c>
      <c r="T7" s="7">
        <f ca="1">OFFSET(A1,107,15)</f>
        <v>56127.899230400006</v>
      </c>
    </row>
    <row r="8" spans="1:20" x14ac:dyDescent="0.2">
      <c r="A8" s="7">
        <v>6</v>
      </c>
      <c r="B8" s="7">
        <v>8.6119400000000006</v>
      </c>
      <c r="C8" s="7">
        <v>54.810499999999998</v>
      </c>
      <c r="D8" s="7">
        <v>31.957000000000001</v>
      </c>
      <c r="E8" s="7">
        <v>367.44880000000001</v>
      </c>
      <c r="F8" s="7">
        <v>1909.4659999999999</v>
      </c>
      <c r="G8" s="7">
        <v>17713.97</v>
      </c>
      <c r="H8" s="7">
        <v>47.194710000000001</v>
      </c>
      <c r="I8" s="7">
        <v>11.826280000000001</v>
      </c>
      <c r="J8" s="7">
        <v>592.3152</v>
      </c>
      <c r="K8" s="7">
        <v>23.489329999999999</v>
      </c>
      <c r="L8" s="7">
        <v>869.49530000000004</v>
      </c>
      <c r="M8" s="7">
        <v>124.78700000000001</v>
      </c>
      <c r="N8" s="7">
        <v>1.1037779999999999</v>
      </c>
      <c r="O8" s="7">
        <v>1.3647720000000001</v>
      </c>
      <c r="P8" s="7">
        <f ca="1">SUM(OFFSET($A$1,7,1,1,14))</f>
        <v>21757.840610000003</v>
      </c>
      <c r="Q8" s="7">
        <f ca="1">SUM(OFFSET($A$1,7,1,1,12))</f>
        <v>21755.372060000002</v>
      </c>
      <c r="R8" s="7" t="s">
        <v>98</v>
      </c>
      <c r="S8" s="7">
        <f ca="1">OFFSET(A1,124,15)</f>
        <v>8828.194368399998</v>
      </c>
      <c r="T8" s="7">
        <f ca="1">OFFSET(A1,125,15)</f>
        <v>8540.5396053000022</v>
      </c>
    </row>
    <row r="9" spans="1:20" x14ac:dyDescent="0.2">
      <c r="A9" s="7">
        <v>7</v>
      </c>
      <c r="B9" s="7">
        <v>8.2612780000000008</v>
      </c>
      <c r="C9" s="7">
        <v>33.644170000000003</v>
      </c>
      <c r="D9" s="7">
        <v>235.75290000000001</v>
      </c>
      <c r="E9" s="7">
        <v>2709.7570000000001</v>
      </c>
      <c r="F9" s="7">
        <v>557.39840000000004</v>
      </c>
      <c r="G9" s="7">
        <v>29.773540000000001</v>
      </c>
      <c r="H9" s="7">
        <v>18070.240000000002</v>
      </c>
      <c r="I9" s="7">
        <v>291.81659999999999</v>
      </c>
      <c r="J9" s="7">
        <v>451.34879999999998</v>
      </c>
      <c r="K9" s="7">
        <v>72.681520000000006</v>
      </c>
      <c r="L9" s="7">
        <v>0.33222990000000002</v>
      </c>
      <c r="M9" s="7">
        <v>5.7436129999999999</v>
      </c>
      <c r="N9" s="7">
        <v>2.32E-4</v>
      </c>
      <c r="O9" s="7">
        <v>3.9928000000000003E-3</v>
      </c>
      <c r="P9" s="7">
        <f ca="1">SUM(OFFSET($A$1,8,1,1,14))</f>
        <v>22466.754275699994</v>
      </c>
      <c r="Q9" s="7">
        <f ca="1">SUM(OFFSET($A$1,8,1,1,12))</f>
        <v>22466.750050899995</v>
      </c>
      <c r="R9" s="7" t="s">
        <v>100</v>
      </c>
      <c r="S9" s="7">
        <f ca="1">OFFSET(A1,142,15)</f>
        <v>0</v>
      </c>
      <c r="T9" s="7">
        <f ca="1">OFFSET(A1,143,15)</f>
        <v>0</v>
      </c>
    </row>
    <row r="10" spans="1:20" x14ac:dyDescent="0.2">
      <c r="A10" s="7">
        <v>8</v>
      </c>
      <c r="B10" s="7">
        <v>0.32422469999999998</v>
      </c>
      <c r="C10" s="7">
        <v>0.88238749999999999</v>
      </c>
      <c r="D10" s="7">
        <v>9.9880840000000006</v>
      </c>
      <c r="E10" s="7">
        <v>243.45099999999999</v>
      </c>
      <c r="F10" s="7">
        <v>20.279890000000002</v>
      </c>
      <c r="G10" s="7">
        <v>1.600805</v>
      </c>
      <c r="H10" s="7">
        <v>497.09190000000001</v>
      </c>
      <c r="I10" s="7">
        <v>4082.1379999999999</v>
      </c>
      <c r="J10" s="7">
        <v>429.17329999999998</v>
      </c>
      <c r="K10" s="7">
        <v>126.2276</v>
      </c>
      <c r="L10" s="7">
        <v>4.6612800000000003E-2</v>
      </c>
      <c r="M10" s="7">
        <v>15.746779999999999</v>
      </c>
      <c r="N10" s="7">
        <v>1.8709999999999999E-4</v>
      </c>
      <c r="O10" s="7">
        <v>1.35175E-2</v>
      </c>
      <c r="P10" s="7">
        <f ca="1">SUM(OFFSET($A$1,9,1,1,14))</f>
        <v>5426.9642886000001</v>
      </c>
      <c r="Q10" s="7">
        <f ca="1">SUM(OFFSET($A$1,9,1,1,12))</f>
        <v>5426.9505840000002</v>
      </c>
    </row>
    <row r="11" spans="1:20" x14ac:dyDescent="0.2">
      <c r="A11" s="7">
        <v>9</v>
      </c>
      <c r="B11" s="7">
        <v>0.65164270000000002</v>
      </c>
      <c r="C11" s="7">
        <v>14.46955</v>
      </c>
      <c r="D11" s="7">
        <v>10.2797</v>
      </c>
      <c r="E11" s="7">
        <v>209.2226</v>
      </c>
      <c r="F11" s="7">
        <v>971.22950000000003</v>
      </c>
      <c r="G11" s="7">
        <v>464.82560000000001</v>
      </c>
      <c r="H11" s="7">
        <v>457.61320000000001</v>
      </c>
      <c r="I11" s="7">
        <v>472.8503</v>
      </c>
      <c r="J11" s="7">
        <v>28279.55</v>
      </c>
      <c r="K11" s="7">
        <v>1376.703</v>
      </c>
      <c r="L11" s="7">
        <v>94.667159999999996</v>
      </c>
      <c r="M11" s="7">
        <v>2868.3620000000001</v>
      </c>
      <c r="N11" s="7">
        <v>0.27865289999999998</v>
      </c>
      <c r="O11" s="7">
        <v>25.01633</v>
      </c>
      <c r="P11" s="7">
        <f ca="1">SUM(OFFSET($A$1,10,1,1,14))</f>
        <v>35245.719235600001</v>
      </c>
      <c r="Q11" s="7">
        <f ca="1">SUM(OFFSET($A$1,10,1,1,12))</f>
        <v>35220.424252700002</v>
      </c>
    </row>
    <row r="12" spans="1:20" x14ac:dyDescent="0.2">
      <c r="A12" s="7">
        <v>10</v>
      </c>
      <c r="B12" s="7">
        <v>1.31865E-2</v>
      </c>
      <c r="C12" s="7">
        <v>0.25733919999999999</v>
      </c>
      <c r="D12" s="7">
        <v>0.3643419</v>
      </c>
      <c r="E12" s="7">
        <v>14.01717</v>
      </c>
      <c r="F12" s="7">
        <v>34.78143</v>
      </c>
      <c r="G12" s="7">
        <v>23.157389999999999</v>
      </c>
      <c r="H12" s="7">
        <v>57.621870000000001</v>
      </c>
      <c r="I12" s="7">
        <v>61.767110000000002</v>
      </c>
      <c r="J12" s="7">
        <v>1574.749</v>
      </c>
      <c r="K12" s="7">
        <v>9702</v>
      </c>
      <c r="L12" s="7">
        <v>1.0733600000000001</v>
      </c>
      <c r="M12" s="7">
        <v>515.12990000000002</v>
      </c>
      <c r="N12" s="7">
        <v>9.7704999999999997E-3</v>
      </c>
      <c r="O12" s="7">
        <v>2.3352059999999999</v>
      </c>
      <c r="P12" s="7">
        <f ca="1">SUM(OFFSET($A$1,11,1,1,14))</f>
        <v>11987.2770741</v>
      </c>
      <c r="Q12" s="7">
        <f ca="1">SUM(OFFSET($A$1,11,1,1,12))</f>
        <v>11984.9320976</v>
      </c>
    </row>
    <row r="13" spans="1:20" x14ac:dyDescent="0.2">
      <c r="A13" s="7">
        <v>11</v>
      </c>
      <c r="B13" s="7">
        <v>5.7933499999999999E-2</v>
      </c>
      <c r="C13" s="7">
        <v>1.25499</v>
      </c>
      <c r="D13" s="7">
        <v>0.40786840000000002</v>
      </c>
      <c r="E13" s="7">
        <v>6.0637109999999996</v>
      </c>
      <c r="F13" s="7">
        <v>70.047489999999996</v>
      </c>
      <c r="G13" s="7">
        <v>850.41369999999995</v>
      </c>
      <c r="H13" s="7">
        <v>0.40501409999999999</v>
      </c>
      <c r="I13" s="7">
        <v>0.25371870000000002</v>
      </c>
      <c r="J13" s="7">
        <v>108.6739</v>
      </c>
      <c r="K13" s="7">
        <v>0.89305290000000004</v>
      </c>
      <c r="L13" s="7">
        <v>9509.6419999999998</v>
      </c>
      <c r="M13" s="7">
        <v>90.174539999999993</v>
      </c>
      <c r="N13" s="7">
        <v>123.29689999999999</v>
      </c>
      <c r="O13" s="7">
        <v>20.59918</v>
      </c>
      <c r="P13" s="7">
        <f ca="1">SUM(OFFSET($A$1,12,1,1,14))</f>
        <v>10782.183998599998</v>
      </c>
      <c r="Q13" s="7">
        <f ca="1">SUM(OFFSET($A$1,12,1,1,12))</f>
        <v>10638.287918599999</v>
      </c>
    </row>
    <row r="14" spans="1:20" x14ac:dyDescent="0.2">
      <c r="A14" s="7">
        <v>12</v>
      </c>
      <c r="B14" s="7">
        <v>0.10603940000000001</v>
      </c>
      <c r="C14" s="7">
        <v>1.369181</v>
      </c>
      <c r="D14" s="7">
        <v>0.351829</v>
      </c>
      <c r="E14" s="7">
        <v>7.3776260000000002</v>
      </c>
      <c r="F14" s="7">
        <v>59.698230000000002</v>
      </c>
      <c r="G14" s="7">
        <v>86.093050000000005</v>
      </c>
      <c r="H14" s="7">
        <v>5.4495909999999999</v>
      </c>
      <c r="I14" s="7">
        <v>9.5568340000000003</v>
      </c>
      <c r="J14" s="7">
        <v>2269.8020000000001</v>
      </c>
      <c r="K14" s="7">
        <v>496.36559999999997</v>
      </c>
      <c r="L14" s="7">
        <v>230.3322</v>
      </c>
      <c r="M14" s="7">
        <v>15899.7</v>
      </c>
      <c r="N14" s="7">
        <v>6.479285</v>
      </c>
      <c r="O14" s="7">
        <v>1161.847</v>
      </c>
      <c r="P14" s="7">
        <f ca="1">SUM(OFFSET($A$1,13,1,1,14))</f>
        <v>20234.528465400002</v>
      </c>
      <c r="Q14" s="7">
        <f ca="1">SUM(OFFSET($A$1,13,1,1,12))</f>
        <v>19066.2021804</v>
      </c>
    </row>
    <row r="15" spans="1:20" x14ac:dyDescent="0.2">
      <c r="A15" s="7">
        <v>13</v>
      </c>
      <c r="B15" s="7">
        <v>2.0230000000000001E-4</v>
      </c>
      <c r="C15" s="7">
        <v>1.9575E-3</v>
      </c>
      <c r="D15" s="7">
        <v>6.7909999999999997E-4</v>
      </c>
      <c r="E15" s="7">
        <v>9.5008999999999996E-3</v>
      </c>
      <c r="F15" s="7">
        <v>0.25022139999999998</v>
      </c>
      <c r="G15" s="7">
        <v>6.2242350000000002</v>
      </c>
      <c r="H15" s="7">
        <v>1.4492000000000001E-3</v>
      </c>
      <c r="I15" s="7">
        <v>8.3029999999999996E-4</v>
      </c>
      <c r="J15" s="7">
        <v>1.483198</v>
      </c>
      <c r="K15" s="7">
        <v>3.4805000000000003E-2</v>
      </c>
      <c r="L15" s="7">
        <v>286.06790000000001</v>
      </c>
      <c r="M15" s="7">
        <v>16.012160000000002</v>
      </c>
      <c r="N15" s="7">
        <v>3517.288</v>
      </c>
      <c r="O15" s="7">
        <v>653.74189999999999</v>
      </c>
      <c r="P15" s="7">
        <f ca="1">SUM(OFFSET($A$1,14,1,1,14))</f>
        <v>4481.1170387000002</v>
      </c>
      <c r="Q15" s="7">
        <f ca="1">SUM(OFFSET($A$1,14,1,1,12))</f>
        <v>310.08713870000003</v>
      </c>
    </row>
    <row r="16" spans="1:20" x14ac:dyDescent="0.2">
      <c r="A16" s="7">
        <v>14</v>
      </c>
      <c r="B16" s="7">
        <v>1.0568000000000001E-3</v>
      </c>
      <c r="C16" s="7">
        <v>2.2881499999999999E-2</v>
      </c>
      <c r="D16" s="7">
        <v>8.0491E-3</v>
      </c>
      <c r="E16" s="7">
        <v>0.1127282</v>
      </c>
      <c r="F16" s="7">
        <v>1.32115</v>
      </c>
      <c r="G16" s="7">
        <v>5.5873609999999996</v>
      </c>
      <c r="H16" s="7">
        <v>5.2063999999999999E-2</v>
      </c>
      <c r="I16" s="7">
        <v>3.2377700000000002E-2</v>
      </c>
      <c r="J16" s="7">
        <v>64.770520000000005</v>
      </c>
      <c r="K16" s="7">
        <v>10.86232</v>
      </c>
      <c r="L16" s="7">
        <v>47.118980000000001</v>
      </c>
      <c r="M16" s="7">
        <v>923.50930000000005</v>
      </c>
      <c r="N16" s="7">
        <v>841.78359999999998</v>
      </c>
      <c r="O16" s="7">
        <v>31134.85</v>
      </c>
      <c r="P16" s="7">
        <f ca="1">SUM(OFFSET($A$1,15,1,1,14))</f>
        <v>33030.032388300002</v>
      </c>
      <c r="Q16" s="7">
        <f ca="1">SUM(OFFSET($A$1,15,1,1,12))</f>
        <v>1053.3987883</v>
      </c>
    </row>
    <row r="17" spans="1:17" x14ac:dyDescent="0.2">
      <c r="A17" s="7" t="s">
        <v>43</v>
      </c>
      <c r="B17" s="7">
        <f ca="1">SUM(OFFSET($A$1,2,1,14,1))</f>
        <v>6070.4936138999992</v>
      </c>
      <c r="C17" s="7">
        <f ca="1">SUM(OFFSET($A$1,2,2,14,1))</f>
        <v>14037.118956699998</v>
      </c>
      <c r="D17" s="7">
        <f ca="1">SUM(OFFSET($A$1,2,3,14,1))</f>
        <v>6424.0405515000002</v>
      </c>
      <c r="E17" s="7">
        <f ca="1">SUM(OFFSET($A$1,2,4,14,1))</f>
        <v>43987.414836100004</v>
      </c>
      <c r="F17" s="7">
        <f ca="1">SUM(OFFSET($A$1,2,5,14,1))</f>
        <v>27741.149081400003</v>
      </c>
      <c r="G17" s="7">
        <f ca="1">SUM(OFFSET($A$1,2,6,14,1))</f>
        <v>21687.948807000001</v>
      </c>
      <c r="H17" s="7">
        <f ca="1">SUM(OFFSET($A$1,2,7,14,1))</f>
        <v>22500.788538300003</v>
      </c>
      <c r="I17" s="7">
        <f ca="1">SUM(OFFSET($A$1,2,8,14,1))</f>
        <v>5206.1245145000003</v>
      </c>
      <c r="J17" s="7">
        <f ca="1">SUM(OFFSET($A$1,2,9,14,1))</f>
        <v>35311.035733000004</v>
      </c>
      <c r="K17" s="7">
        <f ca="1">SUM(OFFSET($A$1,2,10,14,1))</f>
        <v>11854.728876499999</v>
      </c>
      <c r="L17" s="7">
        <f ca="1">SUM(OFFSET($A$1,2,11,14,1))</f>
        <v>11123.7673782</v>
      </c>
      <c r="M17" s="7">
        <f ca="1">SUM(OFFSET($A$1,2,12,14,1))</f>
        <v>20530.963908199999</v>
      </c>
      <c r="N17" s="7">
        <f ca="1">SUM(OFFSET($A$1,2,13,14,1))</f>
        <v>4490.3013269000003</v>
      </c>
      <c r="O17" s="7">
        <f ca="1">SUM(OFFSET($A$1,2,14,14,1))</f>
        <v>33000.282389799999</v>
      </c>
      <c r="P17" s="7">
        <f ca="1">SUM(OFFSET($A$1,16,1,1,14))</f>
        <v>263966.15851199999</v>
      </c>
      <c r="Q17" s="7">
        <f ca="1">SUM(OFFSET($A$1,16,1,1,12))</f>
        <v>226475.5747953</v>
      </c>
    </row>
    <row r="18" spans="1:17" x14ac:dyDescent="0.2">
      <c r="O18" s="12" t="s">
        <v>59</v>
      </c>
      <c r="P18" s="7">
        <f ca="1">SUM(OFFSET($B$3,0,0,12,12))</f>
        <v>225112.08886830002</v>
      </c>
    </row>
    <row r="19" spans="1:17" x14ac:dyDescent="0.2">
      <c r="A19" s="7" t="s">
        <v>89</v>
      </c>
    </row>
    <row r="20" spans="1:17" x14ac:dyDescent="0.2">
      <c r="B20" s="7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 t="s">
        <v>43</v>
      </c>
      <c r="Q20" s="7" t="s">
        <v>61</v>
      </c>
    </row>
    <row r="21" spans="1:17" x14ac:dyDescent="0.2">
      <c r="A21" s="7">
        <v>1</v>
      </c>
      <c r="B21" s="7">
        <v>6786.9549999999999</v>
      </c>
      <c r="C21" s="7">
        <v>3117.3150000000001</v>
      </c>
      <c r="D21" s="7">
        <v>684.60559999999998</v>
      </c>
      <c r="E21" s="7">
        <v>581.19110000000001</v>
      </c>
      <c r="F21" s="7">
        <v>142.9247</v>
      </c>
      <c r="G21" s="7">
        <v>14.64409</v>
      </c>
      <c r="H21" s="7">
        <v>33.082410000000003</v>
      </c>
      <c r="I21" s="7">
        <v>0.31016310000000002</v>
      </c>
      <c r="J21" s="7">
        <v>3.9193769999999999</v>
      </c>
      <c r="K21" s="7">
        <v>2.82817E-2</v>
      </c>
      <c r="L21" s="7">
        <v>0.30076039999999998</v>
      </c>
      <c r="M21" s="7">
        <v>0.1113644</v>
      </c>
      <c r="N21" s="7">
        <v>1.206E-4</v>
      </c>
      <c r="O21" s="7">
        <v>2.2853999999999999E-3</v>
      </c>
      <c r="P21" s="7">
        <f ca="1">SUM(OFFSET($A$19,2,1,1,14))</f>
        <v>11365.390252600002</v>
      </c>
      <c r="Q21" s="7">
        <f ca="1">SUM(OFFSET($A$19,2,1,1,12))</f>
        <v>11365.387846600002</v>
      </c>
    </row>
    <row r="22" spans="1:17" x14ac:dyDescent="0.2">
      <c r="A22" s="7">
        <v>2</v>
      </c>
      <c r="B22" s="7">
        <v>2397.2260000000001</v>
      </c>
      <c r="C22" s="7">
        <v>17784.36</v>
      </c>
      <c r="D22" s="7">
        <v>777.57449999999994</v>
      </c>
      <c r="E22" s="7">
        <v>1351.3430000000001</v>
      </c>
      <c r="F22" s="7">
        <v>1068.277</v>
      </c>
      <c r="G22" s="7">
        <v>139.71879999999999</v>
      </c>
      <c r="H22" s="7">
        <v>89.691689999999994</v>
      </c>
      <c r="I22" s="7">
        <v>3.7666900000000001</v>
      </c>
      <c r="J22" s="7">
        <v>37.892490000000002</v>
      </c>
      <c r="K22" s="7">
        <v>0.26884459999999999</v>
      </c>
      <c r="L22" s="7">
        <v>2.8999130000000002</v>
      </c>
      <c r="M22" s="7">
        <v>2.4162669999999999</v>
      </c>
      <c r="N22" s="7">
        <v>1.1751000000000001E-3</v>
      </c>
      <c r="O22" s="7">
        <v>2.22785E-2</v>
      </c>
      <c r="P22" s="7">
        <f ca="1">SUM(OFFSET($A$19,3,1,1,14))</f>
        <v>23655.458648199998</v>
      </c>
      <c r="Q22" s="7">
        <f ca="1">SUM(OFFSET($A$19,3,1,1,12))</f>
        <v>23655.435194599999</v>
      </c>
    </row>
    <row r="23" spans="1:17" x14ac:dyDescent="0.2">
      <c r="A23" s="7">
        <v>3</v>
      </c>
      <c r="B23" s="7">
        <v>531.51499999999999</v>
      </c>
      <c r="C23" s="7">
        <v>518.43529999999998</v>
      </c>
      <c r="D23" s="7">
        <v>4802.7719999999999</v>
      </c>
      <c r="E23" s="7">
        <v>6280.2190000000001</v>
      </c>
      <c r="F23" s="7">
        <v>636.40869999999995</v>
      </c>
      <c r="G23" s="7">
        <v>53.243429999999996</v>
      </c>
      <c r="H23" s="7">
        <v>376.10500000000002</v>
      </c>
      <c r="I23" s="7">
        <v>7.7609870000000001</v>
      </c>
      <c r="J23" s="7">
        <v>21.862629999999999</v>
      </c>
      <c r="K23" s="7">
        <v>0.41915039999999998</v>
      </c>
      <c r="L23" s="7">
        <v>0.43298900000000001</v>
      </c>
      <c r="M23" s="7">
        <v>0.78080680000000002</v>
      </c>
      <c r="N23" s="7">
        <v>4.8329999999999998E-4</v>
      </c>
      <c r="O23" s="7">
        <v>9.3101E-3</v>
      </c>
      <c r="P23" s="7">
        <f ca="1">SUM(OFFSET($A$19,4,1,1,14))</f>
        <v>13229.964786599998</v>
      </c>
      <c r="Q23" s="7">
        <f ca="1">SUM(OFFSET($A$19,4,1,1,12))</f>
        <v>13229.954993199997</v>
      </c>
    </row>
    <row r="24" spans="1:17" x14ac:dyDescent="0.2">
      <c r="A24" s="7">
        <v>4</v>
      </c>
      <c r="B24" s="7">
        <v>495.9418</v>
      </c>
      <c r="C24" s="7">
        <v>1182.011</v>
      </c>
      <c r="D24" s="7">
        <v>7099.884</v>
      </c>
      <c r="E24" s="7">
        <v>57041.17</v>
      </c>
      <c r="F24" s="7">
        <v>7175.3639999999996</v>
      </c>
      <c r="G24" s="7">
        <v>540.57389999999998</v>
      </c>
      <c r="H24" s="7">
        <v>4210.2910000000002</v>
      </c>
      <c r="I24" s="7">
        <v>171.72370000000001</v>
      </c>
      <c r="J24" s="7">
        <v>413.04219999999998</v>
      </c>
      <c r="K24" s="7">
        <v>19.090170000000001</v>
      </c>
      <c r="L24" s="7">
        <v>13.133380000000001</v>
      </c>
      <c r="M24" s="7">
        <v>15.14564</v>
      </c>
      <c r="N24" s="7">
        <v>1.23842E-2</v>
      </c>
      <c r="O24" s="7">
        <v>0.1066613</v>
      </c>
      <c r="P24" s="7">
        <f ca="1">SUM(OFFSET($A$19,5,1,1,14))</f>
        <v>78377.489835500004</v>
      </c>
      <c r="Q24" s="7">
        <f ca="1">SUM(OFFSET($A$19,5,1,1,12))</f>
        <v>78377.370790000001</v>
      </c>
    </row>
    <row r="25" spans="1:17" x14ac:dyDescent="0.2">
      <c r="A25" s="7">
        <v>5</v>
      </c>
      <c r="B25" s="7">
        <v>153.6285</v>
      </c>
      <c r="C25" s="7">
        <v>1119.096</v>
      </c>
      <c r="D25" s="7">
        <v>1099.71</v>
      </c>
      <c r="E25" s="7">
        <v>6213.7569999999996</v>
      </c>
      <c r="F25" s="7">
        <v>30992.94</v>
      </c>
      <c r="G25" s="7">
        <v>3683.5729999999999</v>
      </c>
      <c r="H25" s="7">
        <v>910.68690000000004</v>
      </c>
      <c r="I25" s="7">
        <v>315.15429999999998</v>
      </c>
      <c r="J25" s="7">
        <v>2325.7460000000001</v>
      </c>
      <c r="K25" s="7">
        <v>79.309529999999995</v>
      </c>
      <c r="L25" s="7">
        <v>163.68010000000001</v>
      </c>
      <c r="M25" s="7">
        <v>138.2389</v>
      </c>
      <c r="N25" s="7">
        <v>0.15923789999999999</v>
      </c>
      <c r="O25" s="7">
        <v>1.336009</v>
      </c>
      <c r="P25" s="7">
        <f ca="1">SUM(OFFSET($A$19,6,1,1,14))</f>
        <v>47197.015476899993</v>
      </c>
      <c r="Q25" s="7">
        <f ca="1">SUM(OFFSET($A$19,6,1,1,12))</f>
        <v>47195.520229999995</v>
      </c>
    </row>
    <row r="26" spans="1:17" x14ac:dyDescent="0.2">
      <c r="A26" s="7">
        <v>6</v>
      </c>
      <c r="B26" s="7">
        <v>19.241</v>
      </c>
      <c r="C26" s="7">
        <v>112.58450000000001</v>
      </c>
      <c r="D26" s="7">
        <v>97.995909999999995</v>
      </c>
      <c r="E26" s="7">
        <v>637.70979999999997</v>
      </c>
      <c r="F26" s="7">
        <v>3322.3879999999999</v>
      </c>
      <c r="G26" s="7">
        <v>29623.43</v>
      </c>
      <c r="H26" s="7">
        <v>96.684669999999997</v>
      </c>
      <c r="I26" s="7">
        <v>23.50507</v>
      </c>
      <c r="J26" s="7">
        <v>1106.5609999999999</v>
      </c>
      <c r="K26" s="7">
        <v>51.818530000000003</v>
      </c>
      <c r="L26" s="7">
        <v>1615.154</v>
      </c>
      <c r="M26" s="7">
        <v>266.00479999999999</v>
      </c>
      <c r="N26" s="7">
        <v>2.7214649999999998</v>
      </c>
      <c r="O26" s="7">
        <v>3.7739690000000001</v>
      </c>
      <c r="P26" s="7">
        <f ca="1">SUM(OFFSET($A$19,7,1,1,14))</f>
        <v>36979.572714000009</v>
      </c>
      <c r="Q26" s="7">
        <f ca="1">SUM(OFFSET($A$19,7,1,1,12))</f>
        <v>36973.077280000005</v>
      </c>
    </row>
    <row r="27" spans="1:17" x14ac:dyDescent="0.2">
      <c r="A27" s="7">
        <v>7</v>
      </c>
      <c r="B27" s="7">
        <v>17.37407</v>
      </c>
      <c r="C27" s="7">
        <v>71.944609999999997</v>
      </c>
      <c r="D27" s="7">
        <v>680.99379999999996</v>
      </c>
      <c r="E27" s="7">
        <v>4381.4080000000004</v>
      </c>
      <c r="F27" s="7">
        <v>1049.3820000000001</v>
      </c>
      <c r="G27" s="7">
        <v>62.285449999999997</v>
      </c>
      <c r="H27" s="7">
        <v>30482.799999999999</v>
      </c>
      <c r="I27" s="7">
        <v>545.73779999999999</v>
      </c>
      <c r="J27" s="7">
        <v>924.50549999999998</v>
      </c>
      <c r="K27" s="7">
        <v>165.32839999999999</v>
      </c>
      <c r="L27" s="7">
        <v>0.82841889999999996</v>
      </c>
      <c r="M27" s="7">
        <v>14.37013</v>
      </c>
      <c r="N27" s="7">
        <v>7.6940000000000005E-4</v>
      </c>
      <c r="O27" s="7">
        <v>1.32703E-2</v>
      </c>
      <c r="P27" s="7">
        <f ca="1">SUM(OFFSET($A$19,8,1,1,14))</f>
        <v>38396.9722186</v>
      </c>
      <c r="Q27" s="7">
        <f ca="1">SUM(OFFSET($A$19,8,1,1,12))</f>
        <v>38396.9581789</v>
      </c>
    </row>
    <row r="28" spans="1:17" x14ac:dyDescent="0.2">
      <c r="A28" s="7">
        <v>8</v>
      </c>
      <c r="B28" s="7">
        <v>0.79423869999999996</v>
      </c>
      <c r="C28" s="7">
        <v>2.1647639999999999</v>
      </c>
      <c r="D28" s="7">
        <v>33.593870000000003</v>
      </c>
      <c r="E28" s="7">
        <v>455.1361</v>
      </c>
      <c r="F28" s="7">
        <v>44.218629999999997</v>
      </c>
      <c r="G28" s="7">
        <v>3.7842159999999998</v>
      </c>
      <c r="H28" s="7">
        <v>966.40210000000002</v>
      </c>
      <c r="I28" s="7">
        <v>6889.9740000000002</v>
      </c>
      <c r="J28" s="7">
        <v>876.8913</v>
      </c>
      <c r="K28" s="7">
        <v>272.8021</v>
      </c>
      <c r="L28" s="7">
        <v>0.1378027</v>
      </c>
      <c r="M28" s="7">
        <v>37.439590000000003</v>
      </c>
      <c r="N28" s="7">
        <v>6.6270000000000001E-4</v>
      </c>
      <c r="O28" s="7">
        <v>4.3343600000000003E-2</v>
      </c>
      <c r="P28" s="7">
        <f ca="1">SUM(OFFSET($A$19,9,1,1,14))</f>
        <v>9583.3827177000003</v>
      </c>
      <c r="Q28" s="7">
        <f ca="1">SUM(OFFSET($A$19,9,1,1,12))</f>
        <v>9583.3387113999997</v>
      </c>
    </row>
    <row r="29" spans="1:17" x14ac:dyDescent="0.2">
      <c r="A29" s="7">
        <v>9</v>
      </c>
      <c r="B29" s="7">
        <v>1.61815</v>
      </c>
      <c r="C29" s="7">
        <v>33.043430000000001</v>
      </c>
      <c r="D29" s="7">
        <v>35.192320000000002</v>
      </c>
      <c r="E29" s="7">
        <v>393.36709999999999</v>
      </c>
      <c r="F29" s="7">
        <v>1802.85</v>
      </c>
      <c r="G29" s="7">
        <v>880.48979999999995</v>
      </c>
      <c r="H29" s="7">
        <v>917.22670000000005</v>
      </c>
      <c r="I29" s="7">
        <v>876.73410000000001</v>
      </c>
      <c r="J29" s="7">
        <v>48318.74</v>
      </c>
      <c r="K29" s="7">
        <v>2569.8580000000002</v>
      </c>
      <c r="L29" s="7">
        <v>211.4692</v>
      </c>
      <c r="M29" s="7">
        <v>5117.38</v>
      </c>
      <c r="N29" s="7">
        <v>0.74149310000000002</v>
      </c>
      <c r="O29" s="7">
        <v>60.378819999999997</v>
      </c>
      <c r="P29" s="7">
        <f ca="1">SUM(OFFSET($A$19,10,1,1,14))</f>
        <v>61219.089113099995</v>
      </c>
      <c r="Q29" s="7">
        <f ca="1">SUM(OFFSET($A$19,10,1,1,12))</f>
        <v>61157.968799999995</v>
      </c>
    </row>
    <row r="30" spans="1:17" x14ac:dyDescent="0.2">
      <c r="A30" s="7">
        <v>10</v>
      </c>
      <c r="B30" s="7">
        <v>3.8524799999999998E-2</v>
      </c>
      <c r="C30" s="7">
        <v>0.69556859999999998</v>
      </c>
      <c r="D30" s="7">
        <v>1.4637899999999999</v>
      </c>
      <c r="E30" s="7">
        <v>30.89967</v>
      </c>
      <c r="F30" s="7">
        <v>76.410020000000003</v>
      </c>
      <c r="G30" s="7">
        <v>51.302109999999999</v>
      </c>
      <c r="H30" s="7">
        <v>131.24600000000001</v>
      </c>
      <c r="I30" s="7">
        <v>127.7491</v>
      </c>
      <c r="J30" s="7">
        <v>2934.904</v>
      </c>
      <c r="K30" s="7">
        <v>16142.07</v>
      </c>
      <c r="L30" s="7">
        <v>2.791258</v>
      </c>
      <c r="M30" s="7">
        <v>997.24549999999999</v>
      </c>
      <c r="N30" s="7">
        <v>2.7903299999999999E-2</v>
      </c>
      <c r="O30" s="7">
        <v>5.738505</v>
      </c>
      <c r="P30" s="7">
        <f ca="1">SUM(OFFSET($A$19,11,1,1,14))</f>
        <v>20502.581949700005</v>
      </c>
      <c r="Q30" s="7">
        <f ca="1">SUM(OFFSET($A$19,11,1,1,12))</f>
        <v>20496.815541400003</v>
      </c>
    </row>
    <row r="31" spans="1:17" x14ac:dyDescent="0.2">
      <c r="A31" s="7">
        <v>11</v>
      </c>
      <c r="B31" s="7">
        <v>0.15768270000000001</v>
      </c>
      <c r="C31" s="7">
        <v>3.1393589999999998</v>
      </c>
      <c r="D31" s="7">
        <v>1.527266</v>
      </c>
      <c r="E31" s="7">
        <v>12.81893</v>
      </c>
      <c r="F31" s="7">
        <v>147.34889999999999</v>
      </c>
      <c r="G31" s="7">
        <v>1567.1790000000001</v>
      </c>
      <c r="H31" s="7">
        <v>0.99074890000000004</v>
      </c>
      <c r="I31" s="7">
        <v>0.61474910000000005</v>
      </c>
      <c r="J31" s="7">
        <v>235.33160000000001</v>
      </c>
      <c r="K31" s="7">
        <v>2.2913779999999999</v>
      </c>
      <c r="L31" s="7">
        <v>15855.35</v>
      </c>
      <c r="M31" s="7">
        <v>192.82490000000001</v>
      </c>
      <c r="N31" s="7">
        <v>236.518</v>
      </c>
      <c r="O31" s="7">
        <v>46.568489999999997</v>
      </c>
      <c r="P31" s="7">
        <f ca="1">SUM(OFFSET($A$19,12,1,1,14))</f>
        <v>18302.661003700003</v>
      </c>
      <c r="Q31" s="7">
        <f ca="1">SUM(OFFSET($A$19,12,1,1,12))</f>
        <v>18019.574513700001</v>
      </c>
    </row>
    <row r="32" spans="1:17" x14ac:dyDescent="0.2">
      <c r="A32" s="7">
        <v>12</v>
      </c>
      <c r="B32" s="7">
        <v>0.30123050000000001</v>
      </c>
      <c r="C32" s="7">
        <v>3.5750790000000001</v>
      </c>
      <c r="D32" s="7">
        <v>1.374242</v>
      </c>
      <c r="E32" s="7">
        <v>16.232620000000001</v>
      </c>
      <c r="F32" s="7">
        <v>129.0043</v>
      </c>
      <c r="G32" s="7">
        <v>181.11600000000001</v>
      </c>
      <c r="H32" s="7">
        <v>13.34548</v>
      </c>
      <c r="I32" s="7">
        <v>21.267099999999999</v>
      </c>
      <c r="J32" s="7">
        <v>4020.652</v>
      </c>
      <c r="K32" s="7">
        <v>925.16560000000004</v>
      </c>
      <c r="L32" s="7">
        <v>482.16649999999998</v>
      </c>
      <c r="M32" s="7">
        <v>26568.11</v>
      </c>
      <c r="N32" s="7">
        <v>13.80546</v>
      </c>
      <c r="O32" s="7">
        <v>2175.953</v>
      </c>
      <c r="P32" s="7">
        <f ca="1">SUM(OFFSET($A$19,13,1,1,14))</f>
        <v>34552.068611499999</v>
      </c>
      <c r="Q32" s="7">
        <f ca="1">SUM(OFFSET($A$19,13,1,1,12))</f>
        <v>32362.310151500002</v>
      </c>
    </row>
    <row r="33" spans="1:17" x14ac:dyDescent="0.2">
      <c r="A33" s="7">
        <v>13</v>
      </c>
      <c r="B33" s="7">
        <v>7.2900000000000005E-4</v>
      </c>
      <c r="C33" s="7">
        <v>6.4796000000000003E-3</v>
      </c>
      <c r="D33" s="7">
        <v>3.3760999999999999E-3</v>
      </c>
      <c r="E33" s="7">
        <v>2.6569700000000002E-2</v>
      </c>
      <c r="F33" s="7">
        <v>0.697577</v>
      </c>
      <c r="G33" s="7">
        <v>15.204739999999999</v>
      </c>
      <c r="H33" s="7">
        <v>4.7079000000000001E-3</v>
      </c>
      <c r="I33" s="7">
        <v>2.7109999999999999E-3</v>
      </c>
      <c r="J33" s="7">
        <v>3.9884879999999998</v>
      </c>
      <c r="K33" s="7">
        <v>0.1015749</v>
      </c>
      <c r="L33" s="7">
        <v>562.59950000000003</v>
      </c>
      <c r="M33" s="7">
        <v>36.401009999999999</v>
      </c>
      <c r="N33" s="7">
        <v>6002.9759999999997</v>
      </c>
      <c r="O33" s="7">
        <v>1274.4390000000001</v>
      </c>
      <c r="P33" s="7">
        <f ca="1">SUM(OFFSET($A$19,14,1,1,14))</f>
        <v>7896.4524632000002</v>
      </c>
      <c r="Q33" s="7">
        <f ca="1">SUM(OFFSET($A$19,14,1,1,12))</f>
        <v>619.03746320000005</v>
      </c>
    </row>
    <row r="34" spans="1:17" x14ac:dyDescent="0.2">
      <c r="A34" s="7">
        <v>14</v>
      </c>
      <c r="B34" s="7">
        <v>4.0397999999999996E-3</v>
      </c>
      <c r="C34" s="7">
        <v>8.0340400000000006E-2</v>
      </c>
      <c r="D34" s="7">
        <v>4.2217999999999999E-2</v>
      </c>
      <c r="E34" s="7">
        <v>0.33086510000000002</v>
      </c>
      <c r="F34" s="7">
        <v>3.8529879999999999</v>
      </c>
      <c r="G34" s="7">
        <v>15.72024</v>
      </c>
      <c r="H34" s="7">
        <v>0.17092099999999999</v>
      </c>
      <c r="I34" s="7">
        <v>9.8004900000000006E-2</v>
      </c>
      <c r="J34" s="7">
        <v>157.8852</v>
      </c>
      <c r="K34" s="7">
        <v>26.84911</v>
      </c>
      <c r="L34" s="7">
        <v>111.93600000000001</v>
      </c>
      <c r="M34" s="7">
        <v>1856.8720000000001</v>
      </c>
      <c r="N34" s="7">
        <v>1618.03</v>
      </c>
      <c r="O34" s="7">
        <v>53675.14</v>
      </c>
      <c r="P34" s="7">
        <f ca="1">SUM(OFFSET($A$19,15,1,1,14))</f>
        <v>57467.011927200001</v>
      </c>
      <c r="Q34" s="7">
        <f ca="1">SUM(OFFSET($A$19,15,1,1,12))</f>
        <v>2173.8419272000001</v>
      </c>
    </row>
    <row r="35" spans="1:17" x14ac:dyDescent="0.2">
      <c r="A35" s="7" t="s">
        <v>43</v>
      </c>
      <c r="B35" s="7">
        <f ca="1">SUM(OFFSET($A$19,2,1,14,1))</f>
        <v>10404.795965500001</v>
      </c>
      <c r="C35" s="7">
        <f ca="1">SUM(OFFSET($A$19,2,2,14,1))</f>
        <v>23948.451430600002</v>
      </c>
      <c r="D35" s="7">
        <f ca="1">SUM(OFFSET($A$19,2,3,14,1))</f>
        <v>15316.732892099999</v>
      </c>
      <c r="E35" s="7">
        <f ca="1">SUM(OFFSET($A$19,2,4,14,1))</f>
        <v>77395.609754799982</v>
      </c>
      <c r="F35" s="7">
        <f ca="1">SUM(OFFSET($A$19,2,5,14,1))</f>
        <v>46592.066814999991</v>
      </c>
      <c r="G35" s="7">
        <f ca="1">SUM(OFFSET($A$19,2,6,14,1))</f>
        <v>36832.264776000011</v>
      </c>
      <c r="H35" s="7">
        <f ca="1">SUM(OFFSET($A$19,2,7,14,1))</f>
        <v>38228.728327800003</v>
      </c>
      <c r="I35" s="7">
        <f ca="1">SUM(OFFSET($A$19,2,8,14,1))</f>
        <v>8984.3984750999989</v>
      </c>
      <c r="J35" s="7">
        <f ca="1">SUM(OFFSET($A$19,2,9,14,1))</f>
        <v>61381.921784999999</v>
      </c>
      <c r="K35" s="7">
        <f ca="1">SUM(OFFSET($A$19,2,10,14,1))</f>
        <v>20255.4006696</v>
      </c>
      <c r="L35" s="7">
        <f ca="1">SUM(OFFSET($A$19,2,11,14,1))</f>
        <v>19022.879822000003</v>
      </c>
      <c r="M35" s="7">
        <f ca="1">SUM(OFFSET($A$19,2,12,14,1))</f>
        <v>35243.340908200007</v>
      </c>
      <c r="N35" s="7">
        <f ca="1">SUM(OFFSET($A$19,2,13,14,1))</f>
        <v>7874.9951545999993</v>
      </c>
      <c r="O35" s="7">
        <f ca="1">SUM(OFFSET($A$19,2,14,14,1))</f>
        <v>57243.524942199998</v>
      </c>
      <c r="P35" s="7">
        <f ca="1">SUM(OFFSET($A$19,16,1,1,14))</f>
        <v>458725.11171849997</v>
      </c>
      <c r="Q35" s="7">
        <f ca="1">SUM(OFFSET($A$19,16,1,1,12))</f>
        <v>393606.59162169998</v>
      </c>
    </row>
    <row r="36" spans="1:17" x14ac:dyDescent="0.2">
      <c r="O36" s="12" t="s">
        <v>59</v>
      </c>
      <c r="P36" s="7">
        <f ca="1">SUM(OFFSET($B$21,0,0,12,12))</f>
        <v>390813.7122312999</v>
      </c>
    </row>
    <row r="37" spans="1:17" x14ac:dyDescent="0.2">
      <c r="A37" s="7" t="s">
        <v>91</v>
      </c>
    </row>
    <row r="38" spans="1:17" x14ac:dyDescent="0.2"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7">
        <v>10</v>
      </c>
      <c r="L38" s="7">
        <v>11</v>
      </c>
      <c r="M38" s="7">
        <v>12</v>
      </c>
      <c r="N38" s="7">
        <v>13</v>
      </c>
      <c r="O38" s="7">
        <v>14</v>
      </c>
      <c r="P38" s="7" t="s">
        <v>43</v>
      </c>
      <c r="Q38" s="7" t="s">
        <v>61</v>
      </c>
    </row>
    <row r="39" spans="1:17" x14ac:dyDescent="0.2">
      <c r="A39" s="7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f ca="1">SUM(OFFSET($A$37,2,1,1,14))</f>
        <v>0</v>
      </c>
      <c r="Q39" s="7">
        <f ca="1">SUM(OFFSET($A$37,2,1,1,12))</f>
        <v>0</v>
      </c>
    </row>
    <row r="40" spans="1:17" x14ac:dyDescent="0.2">
      <c r="A40" s="7">
        <v>2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f ca="1">SUM(OFFSET($A$37,3,1,1,14))</f>
        <v>0</v>
      </c>
      <c r="Q40" s="7">
        <f ca="1">SUM(OFFSET($A$37,3,1,1,12))</f>
        <v>0</v>
      </c>
    </row>
    <row r="41" spans="1:17" x14ac:dyDescent="0.2">
      <c r="A41" s="7">
        <v>3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f ca="1">SUM(OFFSET($A$37,4,1,1,14))</f>
        <v>0</v>
      </c>
      <c r="Q41" s="7">
        <f ca="1">SUM(OFFSET($A$37,4,1,1,12))</f>
        <v>0</v>
      </c>
    </row>
    <row r="42" spans="1:17" x14ac:dyDescent="0.2">
      <c r="A42" s="7">
        <v>4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f ca="1">SUM(OFFSET($A$37,5,1,1,14))</f>
        <v>0</v>
      </c>
      <c r="Q42" s="7">
        <f ca="1">SUM(OFFSET($A$37,5,1,1,12))</f>
        <v>0</v>
      </c>
    </row>
    <row r="43" spans="1:17" x14ac:dyDescent="0.2">
      <c r="A43" s="7">
        <v>5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f ca="1">SUM(OFFSET($A$37,6,1,1,14))</f>
        <v>0</v>
      </c>
      <c r="Q43" s="7">
        <f ca="1">SUM(OFFSET($A$37,6,1,1,12))</f>
        <v>0</v>
      </c>
    </row>
    <row r="44" spans="1:17" x14ac:dyDescent="0.2">
      <c r="A44" s="7">
        <v>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f ca="1">SUM(OFFSET($A$37,7,1,1,14))</f>
        <v>0</v>
      </c>
      <c r="Q44" s="7">
        <f ca="1">SUM(OFFSET($A$37,7,1,1,12))</f>
        <v>0</v>
      </c>
    </row>
    <row r="45" spans="1:17" x14ac:dyDescent="0.2">
      <c r="A45" s="7">
        <v>7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f ca="1">SUM(OFFSET($A$37,8,1,1,14))</f>
        <v>0</v>
      </c>
      <c r="Q45" s="7">
        <f ca="1">SUM(OFFSET($A$37,8,1,1,12))</f>
        <v>0</v>
      </c>
    </row>
    <row r="46" spans="1:17" x14ac:dyDescent="0.2">
      <c r="A46" s="7">
        <v>8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f ca="1">SUM(OFFSET($A$37,9,1,1,14))</f>
        <v>0</v>
      </c>
      <c r="Q46" s="7">
        <f ca="1">SUM(OFFSET($A$37,9,1,1,12))</f>
        <v>0</v>
      </c>
    </row>
    <row r="47" spans="1:17" x14ac:dyDescent="0.2">
      <c r="A47" s="7">
        <v>9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f ca="1">SUM(OFFSET($A$37,10,1,1,14))</f>
        <v>0</v>
      </c>
      <c r="Q47" s="7">
        <f ca="1">SUM(OFFSET($A$37,10,1,1,12))</f>
        <v>0</v>
      </c>
    </row>
    <row r="48" spans="1:17" x14ac:dyDescent="0.2">
      <c r="A48" s="7">
        <v>10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f ca="1">SUM(OFFSET($A$37,11,1,1,14))</f>
        <v>0</v>
      </c>
      <c r="Q48" s="7">
        <f ca="1">SUM(OFFSET($A$37,11,1,1,12))</f>
        <v>0</v>
      </c>
    </row>
    <row r="49" spans="1:17" x14ac:dyDescent="0.2">
      <c r="A49" s="7">
        <v>11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f ca="1">SUM(OFFSET($A$37,12,1,1,14))</f>
        <v>0</v>
      </c>
      <c r="Q49" s="7">
        <f ca="1">SUM(OFFSET($A$37,12,1,1,12))</f>
        <v>0</v>
      </c>
    </row>
    <row r="50" spans="1:17" x14ac:dyDescent="0.2">
      <c r="A50" s="7">
        <v>12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f ca="1">SUM(OFFSET($A$37,13,1,1,14))</f>
        <v>0</v>
      </c>
      <c r="Q50" s="7">
        <f ca="1">SUM(OFFSET($A$37,13,1,1,12))</f>
        <v>0</v>
      </c>
    </row>
    <row r="51" spans="1:17" x14ac:dyDescent="0.2">
      <c r="A51" s="7">
        <v>13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f ca="1">SUM(OFFSET($A$37,14,1,1,14))</f>
        <v>0</v>
      </c>
      <c r="Q51" s="7">
        <f ca="1">SUM(OFFSET($A$37,14,1,1,12))</f>
        <v>0</v>
      </c>
    </row>
    <row r="52" spans="1:17" x14ac:dyDescent="0.2">
      <c r="A52" s="7">
        <v>14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f ca="1">SUM(OFFSET($A$37,15,1,1,14))</f>
        <v>0</v>
      </c>
      <c r="Q52" s="7">
        <f ca="1">SUM(OFFSET($A$37,15,1,1,12))</f>
        <v>0</v>
      </c>
    </row>
    <row r="53" spans="1:17" x14ac:dyDescent="0.2">
      <c r="A53" s="7" t="s">
        <v>43</v>
      </c>
      <c r="B53" s="7">
        <f ca="1">SUM(OFFSET($A$37,2,1,14,1))</f>
        <v>0</v>
      </c>
      <c r="C53" s="7">
        <f ca="1">SUM(OFFSET($A$37,2,2,14,1))</f>
        <v>0</v>
      </c>
      <c r="D53" s="7">
        <f ca="1">SUM(OFFSET($A$37,2,3,14,1))</f>
        <v>0</v>
      </c>
      <c r="E53" s="7">
        <f ca="1">SUM(OFFSET($A$37,2,4,14,1))</f>
        <v>0</v>
      </c>
      <c r="F53" s="7">
        <f ca="1">SUM(OFFSET($A$37,2,5,14,1))</f>
        <v>0</v>
      </c>
      <c r="G53" s="7">
        <f ca="1">SUM(OFFSET($A$37,2,6,14,1))</f>
        <v>0</v>
      </c>
      <c r="H53" s="7">
        <f ca="1">SUM(OFFSET($A$37,2,7,14,1))</f>
        <v>0</v>
      </c>
      <c r="I53" s="7">
        <f ca="1">SUM(OFFSET($A$37,2,8,14,1))</f>
        <v>0</v>
      </c>
      <c r="J53" s="7">
        <f ca="1">SUM(OFFSET($A$37,2,9,14,1))</f>
        <v>0</v>
      </c>
      <c r="K53" s="7">
        <f ca="1">SUM(OFFSET($A$37,2,10,14,1))</f>
        <v>0</v>
      </c>
      <c r="L53" s="7">
        <f ca="1">SUM(OFFSET($A$37,2,11,14,1))</f>
        <v>0</v>
      </c>
      <c r="M53" s="7">
        <f ca="1">SUM(OFFSET($A$37,2,12,14,1))</f>
        <v>0</v>
      </c>
      <c r="N53" s="7">
        <f ca="1">SUM(OFFSET($A$37,2,13,14,1))</f>
        <v>0</v>
      </c>
      <c r="O53" s="7">
        <f ca="1">SUM(OFFSET($A$37,2,14,14,1))</f>
        <v>0</v>
      </c>
      <c r="P53" s="7">
        <f ca="1">SUM(OFFSET($A$37,16,1,1,14))</f>
        <v>0</v>
      </c>
      <c r="Q53" s="7">
        <f ca="1">SUM(OFFSET($A$37,16,1,1,12))</f>
        <v>0</v>
      </c>
    </row>
    <row r="54" spans="1:17" x14ac:dyDescent="0.2">
      <c r="O54" s="12" t="s">
        <v>59</v>
      </c>
      <c r="P54" s="7">
        <f ca="1">SUM(OFFSET($B$39,0,0,12,12))</f>
        <v>0</v>
      </c>
    </row>
    <row r="55" spans="1:17" x14ac:dyDescent="0.2">
      <c r="A55" s="7" t="s">
        <v>93</v>
      </c>
    </row>
    <row r="56" spans="1:17" x14ac:dyDescent="0.2">
      <c r="B56" s="7">
        <v>1</v>
      </c>
      <c r="C56" s="7">
        <v>2</v>
      </c>
      <c r="D56" s="7">
        <v>3</v>
      </c>
      <c r="E56" s="7">
        <v>4</v>
      </c>
      <c r="F56" s="7">
        <v>5</v>
      </c>
      <c r="G56" s="7">
        <v>6</v>
      </c>
      <c r="H56" s="7">
        <v>7</v>
      </c>
      <c r="I56" s="7">
        <v>8</v>
      </c>
      <c r="J56" s="7">
        <v>9</v>
      </c>
      <c r="K56" s="7">
        <v>10</v>
      </c>
      <c r="L56" s="7">
        <v>11</v>
      </c>
      <c r="M56" s="7">
        <v>12</v>
      </c>
      <c r="N56" s="7">
        <v>13</v>
      </c>
      <c r="O56" s="7">
        <v>14</v>
      </c>
      <c r="P56" s="7" t="s">
        <v>43</v>
      </c>
      <c r="Q56" s="7" t="s">
        <v>61</v>
      </c>
    </row>
    <row r="57" spans="1:17" x14ac:dyDescent="0.2">
      <c r="A57" s="7">
        <v>1</v>
      </c>
      <c r="B57" s="7">
        <v>324.59300000000002</v>
      </c>
      <c r="C57" s="7">
        <v>366.22660000000002</v>
      </c>
      <c r="D57" s="7">
        <v>150.64490000000001</v>
      </c>
      <c r="E57" s="7">
        <v>40.96067</v>
      </c>
      <c r="F57" s="7">
        <v>8.3023330000000009</v>
      </c>
      <c r="G57" s="7">
        <v>0.43877280000000002</v>
      </c>
      <c r="H57" s="7">
        <v>1.140271</v>
      </c>
      <c r="I57" s="7">
        <v>8.1483000000000007E-3</v>
      </c>
      <c r="J57" s="7">
        <v>2.9708600000000002E-2</v>
      </c>
      <c r="K57" s="7">
        <v>6.1899999999999998E-4</v>
      </c>
      <c r="L57" s="7">
        <v>2.6979E-3</v>
      </c>
      <c r="M57" s="7">
        <v>1.851E-4</v>
      </c>
      <c r="N57" s="7">
        <v>0</v>
      </c>
      <c r="O57" s="7">
        <v>0</v>
      </c>
      <c r="P57" s="7">
        <f ca="1">SUM(OFFSET($A$55,2,1,1,14))</f>
        <v>892.34790570000018</v>
      </c>
      <c r="Q57" s="7">
        <f ca="1">SUM(OFFSET($A$55,2,1,1,12))</f>
        <v>892.34790570000018</v>
      </c>
    </row>
    <row r="58" spans="1:17" x14ac:dyDescent="0.2">
      <c r="A58" s="7">
        <v>2</v>
      </c>
      <c r="B58" s="7">
        <v>402.28129999999999</v>
      </c>
      <c r="C58" s="7">
        <v>1249.482</v>
      </c>
      <c r="D58" s="7">
        <v>168.36269999999999</v>
      </c>
      <c r="E58" s="7">
        <v>106.2882</v>
      </c>
      <c r="F58" s="7">
        <v>90.110919999999993</v>
      </c>
      <c r="G58" s="7">
        <v>5.7933589999999997</v>
      </c>
      <c r="H58" s="7">
        <v>3.4050950000000002</v>
      </c>
      <c r="I58" s="7">
        <v>0.1070392</v>
      </c>
      <c r="J58" s="7">
        <v>0.26460990000000001</v>
      </c>
      <c r="K58" s="7">
        <v>6.2526999999999999E-3</v>
      </c>
      <c r="L58" s="7">
        <v>3.9328099999999998E-2</v>
      </c>
      <c r="M58" s="7">
        <v>4.6170999999999999E-3</v>
      </c>
      <c r="N58" s="7">
        <v>0</v>
      </c>
      <c r="O58" s="7">
        <v>0</v>
      </c>
      <c r="P58" s="7">
        <f ca="1">SUM(OFFSET($A$55,3,1,1,14))</f>
        <v>2026.1454209999999</v>
      </c>
      <c r="Q58" s="7">
        <f ca="1">SUM(OFFSET($A$55,3,1,1,12))</f>
        <v>2026.1454209999999</v>
      </c>
    </row>
    <row r="59" spans="1:17" x14ac:dyDescent="0.2">
      <c r="A59" s="7">
        <v>3</v>
      </c>
      <c r="B59" s="7">
        <v>271.59010000000001</v>
      </c>
      <c r="C59" s="7">
        <v>177.9879</v>
      </c>
      <c r="D59" s="7">
        <v>1942.297</v>
      </c>
      <c r="E59" s="7">
        <v>2096.8560000000002</v>
      </c>
      <c r="F59" s="7">
        <v>170.33019999999999</v>
      </c>
      <c r="G59" s="7">
        <v>8.9748400000000004</v>
      </c>
      <c r="H59" s="7">
        <v>48.622999999999998</v>
      </c>
      <c r="I59" s="7">
        <v>0.84228919999999996</v>
      </c>
      <c r="J59" s="7">
        <v>1.209789</v>
      </c>
      <c r="K59" s="7">
        <v>4.8422600000000003E-2</v>
      </c>
      <c r="L59" s="7">
        <v>2.7116700000000001E-2</v>
      </c>
      <c r="M59" s="7">
        <v>2.2839600000000002E-2</v>
      </c>
      <c r="N59" s="7">
        <v>0</v>
      </c>
      <c r="O59" s="7">
        <v>0</v>
      </c>
      <c r="P59" s="7">
        <f ca="1">SUM(OFFSET($A$55,4,1,1,14))</f>
        <v>4718.8094970999991</v>
      </c>
      <c r="Q59" s="7">
        <f ca="1">SUM(OFFSET($A$55,4,1,1,12))</f>
        <v>4718.8094970999991</v>
      </c>
    </row>
    <row r="60" spans="1:17" x14ac:dyDescent="0.2">
      <c r="A60" s="7">
        <v>4</v>
      </c>
      <c r="B60" s="7">
        <v>88.679000000000002</v>
      </c>
      <c r="C60" s="7">
        <v>174.6557</v>
      </c>
      <c r="D60" s="7">
        <v>1828.973</v>
      </c>
      <c r="E60" s="7">
        <v>10650.92</v>
      </c>
      <c r="F60" s="7">
        <v>1119.7439999999999</v>
      </c>
      <c r="G60" s="7">
        <v>45.865029999999997</v>
      </c>
      <c r="H60" s="7">
        <v>361.39460000000003</v>
      </c>
      <c r="I60" s="7">
        <v>10.942449999999999</v>
      </c>
      <c r="J60" s="7">
        <v>16.55537</v>
      </c>
      <c r="K60" s="7">
        <v>1.0995170000000001</v>
      </c>
      <c r="L60" s="7">
        <v>0.3857623</v>
      </c>
      <c r="M60" s="7">
        <v>0.30394199999999999</v>
      </c>
      <c r="N60" s="7">
        <v>0</v>
      </c>
      <c r="O60" s="7">
        <v>0</v>
      </c>
      <c r="P60" s="7">
        <f ca="1">SUM(OFFSET($A$55,5,1,1,14))</f>
        <v>14299.518371300002</v>
      </c>
      <c r="Q60" s="7">
        <f ca="1">SUM(OFFSET($A$55,5,1,1,12))</f>
        <v>14299.518371300002</v>
      </c>
    </row>
    <row r="61" spans="1:17" x14ac:dyDescent="0.2">
      <c r="A61" s="7">
        <v>5</v>
      </c>
      <c r="B61" s="7">
        <v>16.62387</v>
      </c>
      <c r="C61" s="7">
        <v>146.89150000000001</v>
      </c>
      <c r="D61" s="7">
        <v>209.1028</v>
      </c>
      <c r="E61" s="7">
        <v>875.27930000000003</v>
      </c>
      <c r="F61" s="7">
        <v>2769.41</v>
      </c>
      <c r="G61" s="7">
        <v>552.06809999999996</v>
      </c>
      <c r="H61" s="7">
        <v>109.5244</v>
      </c>
      <c r="I61" s="7">
        <v>41.182969999999997</v>
      </c>
      <c r="J61" s="7">
        <v>157.26310000000001</v>
      </c>
      <c r="K61" s="7">
        <v>3.9039239999999999</v>
      </c>
      <c r="L61" s="7">
        <v>8.9453370000000003</v>
      </c>
      <c r="M61" s="7">
        <v>4.3330109999999999</v>
      </c>
      <c r="N61" s="7">
        <v>0</v>
      </c>
      <c r="O61" s="7">
        <v>0</v>
      </c>
      <c r="P61" s="7">
        <f ca="1">SUM(OFFSET($A$55,6,1,1,14))</f>
        <v>4894.5283120000004</v>
      </c>
      <c r="Q61" s="7">
        <f ca="1">SUM(OFFSET($A$55,6,1,1,12))</f>
        <v>4894.5283120000004</v>
      </c>
    </row>
    <row r="62" spans="1:17" x14ac:dyDescent="0.2">
      <c r="A62" s="7">
        <v>6</v>
      </c>
      <c r="B62" s="7">
        <v>0.74780210000000003</v>
      </c>
      <c r="C62" s="7">
        <v>4.2951499999999996</v>
      </c>
      <c r="D62" s="7">
        <v>9.2247640000000004</v>
      </c>
      <c r="E62" s="7">
        <v>27.226400000000002</v>
      </c>
      <c r="F62" s="7">
        <v>347.46820000000002</v>
      </c>
      <c r="G62" s="7">
        <v>1449.903</v>
      </c>
      <c r="H62" s="7">
        <v>4.3152400000000002</v>
      </c>
      <c r="I62" s="7">
        <v>1.1066069999999999</v>
      </c>
      <c r="J62" s="7">
        <v>19.90457</v>
      </c>
      <c r="K62" s="7">
        <v>0.64799059999999997</v>
      </c>
      <c r="L62" s="7">
        <v>73.323509999999999</v>
      </c>
      <c r="M62" s="7">
        <v>5.092193</v>
      </c>
      <c r="N62" s="7">
        <v>0</v>
      </c>
      <c r="O62" s="7">
        <v>0</v>
      </c>
      <c r="P62" s="7">
        <f ca="1">SUM(OFFSET($A$55,7,1,1,14))</f>
        <v>1943.2554266999996</v>
      </c>
      <c r="Q62" s="7">
        <f ca="1">SUM(OFFSET($A$55,7,1,1,12))</f>
        <v>1943.2554266999996</v>
      </c>
    </row>
    <row r="63" spans="1:17" x14ac:dyDescent="0.2">
      <c r="A63" s="7">
        <v>7</v>
      </c>
      <c r="B63" s="7">
        <v>0.7326049</v>
      </c>
      <c r="C63" s="7">
        <v>2.5562299999999998</v>
      </c>
      <c r="D63" s="7">
        <v>59.377279999999999</v>
      </c>
      <c r="E63" s="7">
        <v>227.6602</v>
      </c>
      <c r="F63" s="7">
        <v>64.545090000000002</v>
      </c>
      <c r="G63" s="7">
        <v>2.521941</v>
      </c>
      <c r="H63" s="7">
        <v>1779.704</v>
      </c>
      <c r="I63" s="7">
        <v>40.343069999999997</v>
      </c>
      <c r="J63" s="7">
        <v>61.304560000000002</v>
      </c>
      <c r="K63" s="7">
        <v>10.69613</v>
      </c>
      <c r="L63" s="7">
        <v>1.2426899999999999E-2</v>
      </c>
      <c r="M63" s="7">
        <v>0.31544719999999998</v>
      </c>
      <c r="N63" s="7">
        <v>0</v>
      </c>
      <c r="O63" s="7">
        <v>0</v>
      </c>
      <c r="P63" s="7">
        <f ca="1">SUM(OFFSET($A$55,8,1,1,14))</f>
        <v>2249.7689799999998</v>
      </c>
      <c r="Q63" s="7">
        <f ca="1">SUM(OFFSET($A$55,8,1,1,12))</f>
        <v>2249.7689799999998</v>
      </c>
    </row>
    <row r="64" spans="1:17" x14ac:dyDescent="0.2">
      <c r="A64" s="7">
        <v>8</v>
      </c>
      <c r="B64" s="7">
        <v>2.2391399999999999E-2</v>
      </c>
      <c r="C64" s="7">
        <v>4.7195000000000001E-2</v>
      </c>
      <c r="D64" s="7">
        <v>2.1639279999999999</v>
      </c>
      <c r="E64" s="7">
        <v>14.505739999999999</v>
      </c>
      <c r="F64" s="7">
        <v>1.6868350000000001</v>
      </c>
      <c r="G64" s="7">
        <v>6.7268499999999995E-2</v>
      </c>
      <c r="H64" s="7">
        <v>62.728020000000001</v>
      </c>
      <c r="I64" s="7">
        <v>238.67769999999999</v>
      </c>
      <c r="J64" s="7">
        <v>48.752090000000003</v>
      </c>
      <c r="K64" s="7">
        <v>12.810320000000001</v>
      </c>
      <c r="L64" s="7">
        <v>7.5730000000000003E-4</v>
      </c>
      <c r="M64" s="7">
        <v>0.84469559999999999</v>
      </c>
      <c r="N64" s="7">
        <v>0</v>
      </c>
      <c r="O64" s="7">
        <v>6.9999999999999997E-7</v>
      </c>
      <c r="P64" s="7">
        <f ca="1">SUM(OFFSET($A$55,9,1,1,14))</f>
        <v>382.30694149999994</v>
      </c>
      <c r="Q64" s="7">
        <f ca="1">SUM(OFFSET($A$55,9,1,1,12))</f>
        <v>382.30694079999995</v>
      </c>
    </row>
    <row r="65" spans="1:17" x14ac:dyDescent="0.2">
      <c r="A65" s="7">
        <v>9</v>
      </c>
      <c r="B65" s="7">
        <v>1.5618E-2</v>
      </c>
      <c r="C65" s="7">
        <v>0.2232363</v>
      </c>
      <c r="D65" s="7">
        <v>1.3610409999999999</v>
      </c>
      <c r="E65" s="7">
        <v>9.1424470000000007</v>
      </c>
      <c r="F65" s="7">
        <v>62.070259999999998</v>
      </c>
      <c r="G65" s="7">
        <v>13.106809999999999</v>
      </c>
      <c r="H65" s="7">
        <v>44.174810000000001</v>
      </c>
      <c r="I65" s="7">
        <v>61.147950000000002</v>
      </c>
      <c r="J65" s="7">
        <v>2212.4670000000001</v>
      </c>
      <c r="K65" s="7">
        <v>186.74010000000001</v>
      </c>
      <c r="L65" s="7">
        <v>4.845135</v>
      </c>
      <c r="M65" s="7">
        <v>287.35520000000002</v>
      </c>
      <c r="N65" s="7">
        <v>4.6979999999999998E-4</v>
      </c>
      <c r="O65" s="7">
        <v>0.14568909999999999</v>
      </c>
      <c r="P65" s="7">
        <f ca="1">SUM(OFFSET($A$55,10,1,1,14))</f>
        <v>2882.7957661999999</v>
      </c>
      <c r="Q65" s="7">
        <f ca="1">SUM(OFFSET($A$55,10,1,1,12))</f>
        <v>2882.6496073000003</v>
      </c>
    </row>
    <row r="66" spans="1:17" x14ac:dyDescent="0.2">
      <c r="A66" s="7">
        <v>10</v>
      </c>
      <c r="B66" s="7">
        <v>1.2198000000000001E-3</v>
      </c>
      <c r="C66" s="7">
        <v>1.6492799999999998E-2</v>
      </c>
      <c r="D66" s="7">
        <v>0.1075</v>
      </c>
      <c r="E66" s="7">
        <v>1.1657500000000001</v>
      </c>
      <c r="F66" s="7">
        <v>2.3604769999999999</v>
      </c>
      <c r="G66" s="7">
        <v>0.61784620000000001</v>
      </c>
      <c r="H66" s="7">
        <v>8.3205519999999993</v>
      </c>
      <c r="I66" s="7">
        <v>7.3269289999999998</v>
      </c>
      <c r="J66" s="7">
        <v>236.71379999999999</v>
      </c>
      <c r="K66" s="7">
        <v>667.32510000000002</v>
      </c>
      <c r="L66" s="7">
        <v>3.67969E-2</v>
      </c>
      <c r="M66" s="7">
        <v>31.298690000000001</v>
      </c>
      <c r="N66" s="7">
        <v>0</v>
      </c>
      <c r="O66" s="7">
        <v>2.4423000000000001E-3</v>
      </c>
      <c r="P66" s="7">
        <f ca="1">SUM(OFFSET($A$55,11,1,1,14))</f>
        <v>955.29359599999998</v>
      </c>
      <c r="Q66" s="7">
        <f ca="1">SUM(OFFSET($A$55,11,1,1,12))</f>
        <v>955.2911537</v>
      </c>
    </row>
    <row r="67" spans="1:17" x14ac:dyDescent="0.2">
      <c r="A67" s="7">
        <v>11</v>
      </c>
      <c r="B67" s="7">
        <v>1.5721999999999999E-3</v>
      </c>
      <c r="C67" s="7">
        <v>2.9327800000000001E-2</v>
      </c>
      <c r="D67" s="7">
        <v>3.9066999999999998E-2</v>
      </c>
      <c r="E67" s="7">
        <v>0.13703989999999999</v>
      </c>
      <c r="F67" s="7">
        <v>3.823121</v>
      </c>
      <c r="G67" s="7">
        <v>57.74127</v>
      </c>
      <c r="H67" s="7">
        <v>1.2789999999999999E-2</v>
      </c>
      <c r="I67" s="7">
        <v>8.2945999999999992E-3</v>
      </c>
      <c r="J67" s="7">
        <v>4.3591009999999999</v>
      </c>
      <c r="K67" s="7">
        <v>1.6717200000000002E-2</v>
      </c>
      <c r="L67" s="7">
        <v>327.3476</v>
      </c>
      <c r="M67" s="7">
        <v>7.3173959999999996</v>
      </c>
      <c r="N67" s="7">
        <v>0</v>
      </c>
      <c r="O67" s="7">
        <v>1.1777000000000001E-3</v>
      </c>
      <c r="P67" s="7">
        <f ca="1">SUM(OFFSET($A$55,12,1,1,14))</f>
        <v>400.83447439999998</v>
      </c>
      <c r="Q67" s="7">
        <f ca="1">SUM(OFFSET($A$55,12,1,1,12))</f>
        <v>400.83329669999995</v>
      </c>
    </row>
    <row r="68" spans="1:17" x14ac:dyDescent="0.2">
      <c r="A68" s="7">
        <v>12</v>
      </c>
      <c r="B68" s="7">
        <v>4.9399999999999997E-4</v>
      </c>
      <c r="C68" s="7">
        <v>1.1288299999999999E-2</v>
      </c>
      <c r="D68" s="7">
        <v>1.9445400000000002E-2</v>
      </c>
      <c r="E68" s="7">
        <v>0.1086353</v>
      </c>
      <c r="F68" s="7">
        <v>1.8611260000000001</v>
      </c>
      <c r="G68" s="7">
        <v>3.9778009999999999</v>
      </c>
      <c r="H68" s="7">
        <v>0.1706763</v>
      </c>
      <c r="I68" s="7">
        <v>0.36271199999999998</v>
      </c>
      <c r="J68" s="7">
        <v>229.62950000000001</v>
      </c>
      <c r="K68" s="7">
        <v>15.30871</v>
      </c>
      <c r="L68" s="7">
        <v>22.10408</v>
      </c>
      <c r="M68" s="7">
        <v>687.61720000000003</v>
      </c>
      <c r="N68" s="7">
        <v>3.5911400000000003E-2</v>
      </c>
      <c r="O68" s="7">
        <v>16.698350000000001</v>
      </c>
      <c r="P68" s="7">
        <f ca="1">SUM(OFFSET($A$55,13,1,1,14))</f>
        <v>977.9059297</v>
      </c>
      <c r="Q68" s="7">
        <f ca="1">SUM(OFFSET($A$55,13,1,1,12))</f>
        <v>961.17166829999996</v>
      </c>
    </row>
    <row r="69" spans="1:17" x14ac:dyDescent="0.2">
      <c r="A69" s="7">
        <v>13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1.8700000000000001E-5</v>
      </c>
      <c r="K69" s="7">
        <v>0</v>
      </c>
      <c r="L69" s="7">
        <v>0</v>
      </c>
      <c r="M69" s="7">
        <v>2.47081E-2</v>
      </c>
      <c r="N69" s="7">
        <v>77.504409999999993</v>
      </c>
      <c r="O69" s="7">
        <v>33.985810000000001</v>
      </c>
      <c r="P69" s="7">
        <f ca="1">SUM(OFFSET($A$55,14,1,1,14))</f>
        <v>111.51494679999999</v>
      </c>
      <c r="Q69" s="7">
        <f ca="1">SUM(OFFSET($A$55,14,1,1,12))</f>
        <v>2.47268E-2</v>
      </c>
    </row>
    <row r="70" spans="1:17" x14ac:dyDescent="0.2">
      <c r="A70" s="7">
        <v>14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0.22216269999999999</v>
      </c>
      <c r="K70" s="7">
        <v>0</v>
      </c>
      <c r="L70" s="7">
        <v>3.2969999999999999E-4</v>
      </c>
      <c r="M70" s="7">
        <v>9.9746170000000003</v>
      </c>
      <c r="N70" s="7">
        <v>63.206049999999998</v>
      </c>
      <c r="O70" s="7">
        <v>1082.309</v>
      </c>
      <c r="P70" s="7">
        <f ca="1">SUM(OFFSET($A$55,15,1,1,14))</f>
        <v>1155.7121594</v>
      </c>
      <c r="Q70" s="7">
        <f ca="1">SUM(OFFSET($A$55,15,1,1,12))</f>
        <v>10.1971094</v>
      </c>
    </row>
    <row r="71" spans="1:17" x14ac:dyDescent="0.2">
      <c r="A71" s="7" t="s">
        <v>43</v>
      </c>
      <c r="B71" s="7">
        <f ca="1">SUM(OFFSET($A$55,2,1,14,1))</f>
        <v>1105.2889723999997</v>
      </c>
      <c r="C71" s="7">
        <f ca="1">SUM(OFFSET($A$55,2,2,14,1))</f>
        <v>2122.4226202</v>
      </c>
      <c r="D71" s="7">
        <f ca="1">SUM(OFFSET($A$55,2,3,14,1))</f>
        <v>4371.6734253999994</v>
      </c>
      <c r="E71" s="7">
        <f ca="1">SUM(OFFSET($A$55,2,4,14,1))</f>
        <v>14050.250382200002</v>
      </c>
      <c r="F71" s="7">
        <f ca="1">SUM(OFFSET($A$55,2,5,14,1))</f>
        <v>4641.7125620000006</v>
      </c>
      <c r="G71" s="7">
        <f ca="1">SUM(OFFSET($A$55,2,6,14,1))</f>
        <v>2141.0760384999999</v>
      </c>
      <c r="H71" s="7">
        <f ca="1">SUM(OFFSET($A$55,2,7,14,1))</f>
        <v>2423.5134543000004</v>
      </c>
      <c r="I71" s="7">
        <f ca="1">SUM(OFFSET($A$55,2,8,14,1))</f>
        <v>402.05615929999993</v>
      </c>
      <c r="J71" s="7">
        <f ca="1">SUM(OFFSET($A$55,2,9,14,1))</f>
        <v>2988.6753799000003</v>
      </c>
      <c r="K71" s="7">
        <f ca="1">SUM(OFFSET($A$55,2,10,14,1))</f>
        <v>898.60380310000005</v>
      </c>
      <c r="L71" s="7">
        <f ca="1">SUM(OFFSET($A$55,2,11,14,1))</f>
        <v>437.07087780000001</v>
      </c>
      <c r="M71" s="7">
        <f ca="1">SUM(OFFSET($A$55,2,12,14,1))</f>
        <v>1034.5047417000001</v>
      </c>
      <c r="N71" s="7">
        <f ca="1">SUM(OFFSET($A$55,2,13,14,1))</f>
        <v>140.74684119999998</v>
      </c>
      <c r="O71" s="7">
        <f ca="1">SUM(OFFSET($A$55,2,14,14,1))</f>
        <v>1133.1424698000001</v>
      </c>
      <c r="P71" s="7">
        <f ca="1">SUM(OFFSET($A$55,16,1,1,14))</f>
        <v>37890.737727799999</v>
      </c>
      <c r="Q71" s="7">
        <f ca="1">SUM(OFFSET($A$55,16,1,1,12))</f>
        <v>36616.8484168</v>
      </c>
    </row>
    <row r="72" spans="1:17" x14ac:dyDescent="0.2">
      <c r="O72" s="12" t="s">
        <v>59</v>
      </c>
      <c r="P72" s="7">
        <f ca="1">SUM(OFFSET($B$57,0,0,12,12))</f>
        <v>36606.626580599994</v>
      </c>
    </row>
    <row r="73" spans="1:17" x14ac:dyDescent="0.2">
      <c r="A73" s="7" t="s">
        <v>95</v>
      </c>
    </row>
    <row r="74" spans="1:17" x14ac:dyDescent="0.2">
      <c r="B74" s="7">
        <v>1</v>
      </c>
      <c r="C74" s="7">
        <v>2</v>
      </c>
      <c r="D74" s="7">
        <v>3</v>
      </c>
      <c r="E74" s="7">
        <v>4</v>
      </c>
      <c r="F74" s="7">
        <v>5</v>
      </c>
      <c r="G74" s="7">
        <v>6</v>
      </c>
      <c r="H74" s="7">
        <v>7</v>
      </c>
      <c r="I74" s="7">
        <v>8</v>
      </c>
      <c r="J74" s="7">
        <v>9</v>
      </c>
      <c r="K74" s="7">
        <v>10</v>
      </c>
      <c r="L74" s="7">
        <v>11</v>
      </c>
      <c r="M74" s="7">
        <v>12</v>
      </c>
      <c r="N74" s="7">
        <v>13</v>
      </c>
      <c r="O74" s="7">
        <v>14</v>
      </c>
      <c r="P74" s="7" t="s">
        <v>43</v>
      </c>
      <c r="Q74" s="7" t="s">
        <v>61</v>
      </c>
    </row>
    <row r="75" spans="1:17" x14ac:dyDescent="0.2">
      <c r="A75" s="7">
        <v>1</v>
      </c>
      <c r="B75" s="7">
        <v>0</v>
      </c>
      <c r="C75" s="7">
        <v>14.6945</v>
      </c>
      <c r="D75" s="7">
        <v>92.093109999999996</v>
      </c>
      <c r="E75" s="7">
        <v>31.666979999999999</v>
      </c>
      <c r="F75" s="7">
        <v>17.01915</v>
      </c>
      <c r="G75" s="7">
        <v>1.1862280000000001</v>
      </c>
      <c r="H75" s="7">
        <v>5.0259790000000004</v>
      </c>
      <c r="I75" s="7">
        <v>2.6165299999999999E-2</v>
      </c>
      <c r="J75" s="7">
        <v>0.42264849999999998</v>
      </c>
      <c r="K75" s="7">
        <v>1.8178000000000001E-3</v>
      </c>
      <c r="L75" s="7">
        <v>8.8459000000000003E-3</v>
      </c>
      <c r="M75" s="7">
        <v>4.6232000000000001E-3</v>
      </c>
      <c r="N75" s="7">
        <v>0</v>
      </c>
      <c r="O75" s="7">
        <v>0</v>
      </c>
      <c r="P75" s="7">
        <f ca="1">SUM(OFFSET($A$73,2,1,1,14))</f>
        <v>162.15004770000002</v>
      </c>
      <c r="Q75" s="7">
        <f ca="1">SUM(OFFSET($A$73,2,1,1,12))</f>
        <v>162.15004770000002</v>
      </c>
    </row>
    <row r="76" spans="1:17" x14ac:dyDescent="0.2">
      <c r="A76" s="7">
        <v>2</v>
      </c>
      <c r="B76" s="7">
        <v>0</v>
      </c>
      <c r="C76" s="7">
        <v>0</v>
      </c>
      <c r="D76" s="7">
        <v>325.98259999999999</v>
      </c>
      <c r="E76" s="7">
        <v>68.493939999999995</v>
      </c>
      <c r="F76" s="7">
        <v>107.4482</v>
      </c>
      <c r="G76" s="7">
        <v>12.7813</v>
      </c>
      <c r="H76" s="7">
        <v>11.389609999999999</v>
      </c>
      <c r="I76" s="7">
        <v>0.3212931</v>
      </c>
      <c r="J76" s="7">
        <v>4.2302720000000003</v>
      </c>
      <c r="K76" s="7">
        <v>1.7775599999999999E-2</v>
      </c>
      <c r="L76" s="7">
        <v>9.7399899999999998E-2</v>
      </c>
      <c r="M76" s="7">
        <v>0.1065485</v>
      </c>
      <c r="N76" s="7">
        <v>0</v>
      </c>
      <c r="O76" s="7">
        <v>0</v>
      </c>
      <c r="P76" s="7">
        <f ca="1">SUM(OFFSET($A$73,3,1,1,14))</f>
        <v>530.86893910000015</v>
      </c>
      <c r="Q76" s="7">
        <f ca="1">SUM(OFFSET($A$73,3,1,1,12))</f>
        <v>530.86893910000015</v>
      </c>
    </row>
    <row r="77" spans="1:17" x14ac:dyDescent="0.2">
      <c r="A77" s="7">
        <v>3</v>
      </c>
      <c r="B77" s="7">
        <v>77.594170000000005</v>
      </c>
      <c r="C77" s="7">
        <v>290.62889999999999</v>
      </c>
      <c r="D77" s="7">
        <v>942.93640000000005</v>
      </c>
      <c r="E77" s="7">
        <v>1895.0650000000001</v>
      </c>
      <c r="F77" s="7">
        <v>606.29390000000001</v>
      </c>
      <c r="G77" s="7">
        <v>37.855319999999999</v>
      </c>
      <c r="H77" s="7">
        <v>373.96120000000002</v>
      </c>
      <c r="I77" s="7">
        <v>4.7731450000000004</v>
      </c>
      <c r="J77" s="7">
        <v>19.426169999999999</v>
      </c>
      <c r="K77" s="7">
        <v>0.23184869999999999</v>
      </c>
      <c r="L77" s="7">
        <v>0.12972359999999999</v>
      </c>
      <c r="M77" s="7">
        <v>0.32235930000000002</v>
      </c>
      <c r="N77" s="7">
        <v>0</v>
      </c>
      <c r="O77" s="7">
        <v>3.8899999999999997E-5</v>
      </c>
      <c r="P77" s="7">
        <f ca="1">SUM(OFFSET($A$73,4,1,1,14))</f>
        <v>4249.2181755000001</v>
      </c>
      <c r="Q77" s="7">
        <f ca="1">SUM(OFFSET($A$73,4,1,1,12))</f>
        <v>4249.2181366000004</v>
      </c>
    </row>
    <row r="78" spans="1:17" x14ac:dyDescent="0.2">
      <c r="A78" s="7">
        <v>4</v>
      </c>
      <c r="B78" s="7">
        <v>97.523610000000005</v>
      </c>
      <c r="C78" s="7">
        <v>135.2226</v>
      </c>
      <c r="D78" s="7">
        <v>2408.4360000000001</v>
      </c>
      <c r="E78" s="7">
        <v>2563.105</v>
      </c>
      <c r="F78" s="7">
        <v>1404.415</v>
      </c>
      <c r="G78" s="7">
        <v>87.109170000000006</v>
      </c>
      <c r="H78" s="7">
        <v>643.18529999999998</v>
      </c>
      <c r="I78" s="7">
        <v>15.82882</v>
      </c>
      <c r="J78" s="7">
        <v>65.194159999999997</v>
      </c>
      <c r="K78" s="7">
        <v>1.7347699999999999</v>
      </c>
      <c r="L78" s="7">
        <v>0.81170489999999995</v>
      </c>
      <c r="M78" s="7">
        <v>1.2092130000000001</v>
      </c>
      <c r="N78" s="7">
        <v>0</v>
      </c>
      <c r="O78" s="7">
        <v>1.4190000000000001E-4</v>
      </c>
      <c r="P78" s="7">
        <f ca="1">SUM(OFFSET($A$73,5,1,1,14))</f>
        <v>7423.7754898000003</v>
      </c>
      <c r="Q78" s="7">
        <f ca="1">SUM(OFFSET($A$73,5,1,1,12))</f>
        <v>7423.7753479000003</v>
      </c>
    </row>
    <row r="79" spans="1:17" x14ac:dyDescent="0.2">
      <c r="A79" s="7">
        <v>5</v>
      </c>
      <c r="B79" s="7">
        <v>33.833210000000001</v>
      </c>
      <c r="C79" s="7">
        <v>147.75540000000001</v>
      </c>
      <c r="D79" s="7">
        <v>728.12329999999997</v>
      </c>
      <c r="E79" s="7">
        <v>783.31870000000004</v>
      </c>
      <c r="F79" s="7">
        <v>2429.8879999999999</v>
      </c>
      <c r="G79" s="7">
        <v>659.59839999999997</v>
      </c>
      <c r="H79" s="7">
        <v>149.63839999999999</v>
      </c>
      <c r="I79" s="7">
        <v>42.370399999999997</v>
      </c>
      <c r="J79" s="7">
        <v>664.94090000000006</v>
      </c>
      <c r="K79" s="7">
        <v>12.767659999999999</v>
      </c>
      <c r="L79" s="7">
        <v>13.6959</v>
      </c>
      <c r="M79" s="7">
        <v>16.593440000000001</v>
      </c>
      <c r="N79" s="7">
        <v>0</v>
      </c>
      <c r="O79" s="7">
        <v>1.5332999999999999E-2</v>
      </c>
      <c r="P79" s="7">
        <f ca="1">SUM(OFFSET($A$73,6,1,1,14))</f>
        <v>5682.5390429999989</v>
      </c>
      <c r="Q79" s="7">
        <f ca="1">SUM(OFFSET($A$73,6,1,1,12))</f>
        <v>5682.5237099999986</v>
      </c>
    </row>
    <row r="80" spans="1:17" x14ac:dyDescent="0.2">
      <c r="A80" s="7">
        <v>6</v>
      </c>
      <c r="B80" s="7">
        <v>2.4736050000000001</v>
      </c>
      <c r="C80" s="7">
        <v>12.097250000000001</v>
      </c>
      <c r="D80" s="7">
        <v>49.206699999999998</v>
      </c>
      <c r="E80" s="7">
        <v>50.48847</v>
      </c>
      <c r="F80" s="7">
        <v>426.93400000000003</v>
      </c>
      <c r="G80" s="7">
        <v>141.0607</v>
      </c>
      <c r="H80" s="7">
        <v>11.000970000000001</v>
      </c>
      <c r="I80" s="7">
        <v>2.5955509999999999</v>
      </c>
      <c r="J80" s="7">
        <v>111.35469999999999</v>
      </c>
      <c r="K80" s="7">
        <v>3.1136379999999999</v>
      </c>
      <c r="L80" s="7">
        <v>1.189516</v>
      </c>
      <c r="M80" s="7">
        <v>9.0698340000000002</v>
      </c>
      <c r="N80" s="7">
        <v>0</v>
      </c>
      <c r="O80" s="7">
        <v>3.5228E-3</v>
      </c>
      <c r="P80" s="7">
        <f ca="1">SUM(OFFSET($A$73,7,1,1,14))</f>
        <v>820.58845680000013</v>
      </c>
      <c r="Q80" s="7">
        <f ca="1">SUM(OFFSET($A$73,7,1,1,12))</f>
        <v>820.58493400000009</v>
      </c>
    </row>
    <row r="81" spans="1:17" x14ac:dyDescent="0.2">
      <c r="A81" s="7">
        <v>7</v>
      </c>
      <c r="B81" s="7">
        <v>3.1378400000000002</v>
      </c>
      <c r="C81" s="7">
        <v>8.1960300000000004</v>
      </c>
      <c r="D81" s="7">
        <v>372.1259</v>
      </c>
      <c r="E81" s="7">
        <v>330.00029999999998</v>
      </c>
      <c r="F81" s="7">
        <v>114.6538</v>
      </c>
      <c r="G81" s="7">
        <v>5.0807919999999998</v>
      </c>
      <c r="H81" s="7">
        <v>203.72479999999999</v>
      </c>
      <c r="I81" s="7">
        <v>15.41896</v>
      </c>
      <c r="J81" s="7">
        <v>49.975079999999998</v>
      </c>
      <c r="K81" s="7">
        <v>5.4100979999999996</v>
      </c>
      <c r="L81" s="7">
        <v>2.3255700000000001E-2</v>
      </c>
      <c r="M81" s="7">
        <v>0.49110569999999998</v>
      </c>
      <c r="N81" s="7">
        <v>0</v>
      </c>
      <c r="O81" s="7">
        <v>0</v>
      </c>
      <c r="P81" s="7">
        <f ca="1">SUM(OFFSET($A$73,8,1,1,14))</f>
        <v>1108.2379613999999</v>
      </c>
      <c r="Q81" s="7">
        <f ca="1">SUM(OFFSET($A$73,8,1,1,12))</f>
        <v>1108.2379613999999</v>
      </c>
    </row>
    <row r="82" spans="1:17" x14ac:dyDescent="0.2">
      <c r="A82" s="7">
        <v>8</v>
      </c>
      <c r="B82" s="7">
        <v>7.6792799999999994E-2</v>
      </c>
      <c r="C82" s="7">
        <v>0.13061890000000001</v>
      </c>
      <c r="D82" s="7">
        <v>11.614380000000001</v>
      </c>
      <c r="E82" s="7">
        <v>17.686</v>
      </c>
      <c r="F82" s="7">
        <v>3.2463250000000001</v>
      </c>
      <c r="G82" s="7">
        <v>0.1760804</v>
      </c>
      <c r="H82" s="7">
        <v>19.427299999999999</v>
      </c>
      <c r="I82" s="7">
        <v>1.4520000000000001E-4</v>
      </c>
      <c r="J82" s="7">
        <v>5.9787400000000002</v>
      </c>
      <c r="K82" s="7">
        <v>2.7227000000000002E-3</v>
      </c>
      <c r="L82" s="7">
        <v>1.7083000000000001E-3</v>
      </c>
      <c r="M82" s="7">
        <v>0.4544184</v>
      </c>
      <c r="N82" s="7">
        <v>0</v>
      </c>
      <c r="O82" s="7">
        <v>0</v>
      </c>
      <c r="P82" s="7">
        <f ca="1">SUM(OFFSET($A$73,9,1,1,14))</f>
        <v>58.795231699999988</v>
      </c>
      <c r="Q82" s="7">
        <f ca="1">SUM(OFFSET($A$73,9,1,1,12))</f>
        <v>58.795231699999988</v>
      </c>
    </row>
    <row r="83" spans="1:17" x14ac:dyDescent="0.2">
      <c r="A83" s="7">
        <v>9</v>
      </c>
      <c r="B83" s="7">
        <v>0.26170729999999998</v>
      </c>
      <c r="C83" s="7">
        <v>3.7883049999999998</v>
      </c>
      <c r="D83" s="7">
        <v>20.185189999999999</v>
      </c>
      <c r="E83" s="7">
        <v>28.33962</v>
      </c>
      <c r="F83" s="7">
        <v>357.12970000000001</v>
      </c>
      <c r="G83" s="7">
        <v>92.366159999999994</v>
      </c>
      <c r="H83" s="7">
        <v>66.484049999999996</v>
      </c>
      <c r="I83" s="7">
        <v>20.647390000000001</v>
      </c>
      <c r="J83" s="7">
        <v>412.15300000000002</v>
      </c>
      <c r="K83" s="7">
        <v>7.3119120000000004</v>
      </c>
      <c r="L83" s="7">
        <v>2.6548859999999999</v>
      </c>
      <c r="M83" s="7">
        <v>9.0589969999999997</v>
      </c>
      <c r="N83" s="7">
        <v>0</v>
      </c>
      <c r="O83" s="7">
        <v>2.28481E-2</v>
      </c>
      <c r="P83" s="7">
        <f ca="1">SUM(OFFSET($A$73,10,1,1,14))</f>
        <v>1020.4037654</v>
      </c>
      <c r="Q83" s="7">
        <f ca="1">SUM(OFFSET($A$73,10,1,1,12))</f>
        <v>1020.3809173</v>
      </c>
    </row>
    <row r="84" spans="1:17" x14ac:dyDescent="0.2">
      <c r="A84" s="7">
        <v>10</v>
      </c>
      <c r="B84" s="7">
        <v>3.8273000000000001E-3</v>
      </c>
      <c r="C84" s="7">
        <v>4.8113200000000002E-2</v>
      </c>
      <c r="D84" s="7">
        <v>0.54161340000000002</v>
      </c>
      <c r="E84" s="7">
        <v>1.320171</v>
      </c>
      <c r="F84" s="7">
        <v>8.8053880000000007</v>
      </c>
      <c r="G84" s="7">
        <v>3.5221770000000001</v>
      </c>
      <c r="H84" s="7">
        <v>6.5448320000000004</v>
      </c>
      <c r="I84" s="7">
        <v>1.32545</v>
      </c>
      <c r="J84" s="7">
        <v>12.80138</v>
      </c>
      <c r="K84" s="7">
        <v>0</v>
      </c>
      <c r="L84" s="7">
        <v>2.0689699999999998E-2</v>
      </c>
      <c r="M84" s="7">
        <v>0</v>
      </c>
      <c r="N84" s="7">
        <v>0</v>
      </c>
      <c r="O84" s="7">
        <v>0</v>
      </c>
      <c r="P84" s="7">
        <f ca="1">SUM(OFFSET($A$73,11,1,1,14))</f>
        <v>34.933641600000001</v>
      </c>
      <c r="Q84" s="7">
        <f ca="1">SUM(OFFSET($A$73,11,1,1,12))</f>
        <v>34.933641600000001</v>
      </c>
    </row>
    <row r="85" spans="1:17" x14ac:dyDescent="0.2">
      <c r="A85" s="7">
        <v>11</v>
      </c>
      <c r="B85" s="7">
        <v>5.8592000000000002E-3</v>
      </c>
      <c r="C85" s="7">
        <v>9.8122200000000007E-2</v>
      </c>
      <c r="D85" s="7">
        <v>0.27267439999999998</v>
      </c>
      <c r="E85" s="7">
        <v>0.25045970000000001</v>
      </c>
      <c r="F85" s="7">
        <v>5.8176350000000001</v>
      </c>
      <c r="G85" s="7">
        <v>58.991599999999998</v>
      </c>
      <c r="H85" s="7">
        <v>2.8990200000000001E-2</v>
      </c>
      <c r="I85" s="7">
        <v>1.38601E-2</v>
      </c>
      <c r="J85" s="7">
        <v>4.0120889999999996</v>
      </c>
      <c r="K85" s="7">
        <v>3.0123500000000001E-2</v>
      </c>
      <c r="L85" s="7">
        <v>9.49099</v>
      </c>
      <c r="M85" s="7">
        <v>0.16808210000000001</v>
      </c>
      <c r="N85" s="7">
        <v>0</v>
      </c>
      <c r="O85" s="7">
        <v>0</v>
      </c>
      <c r="P85" s="7">
        <f ca="1">SUM(OFFSET($A$73,12,1,1,14))</f>
        <v>79.180485400000009</v>
      </c>
      <c r="Q85" s="7">
        <f ca="1">SUM(OFFSET($A$73,12,1,1,12))</f>
        <v>79.180485400000009</v>
      </c>
    </row>
    <row r="86" spans="1:17" x14ac:dyDescent="0.2">
      <c r="A86" s="7">
        <v>12</v>
      </c>
      <c r="B86" s="7">
        <v>1.15234E-2</v>
      </c>
      <c r="C86" s="7">
        <v>0.1051608</v>
      </c>
      <c r="D86" s="7">
        <v>0.23835319999999999</v>
      </c>
      <c r="E86" s="7">
        <v>0.33315420000000001</v>
      </c>
      <c r="F86" s="7">
        <v>6.6839639999999996</v>
      </c>
      <c r="G86" s="7">
        <v>5.9902090000000001</v>
      </c>
      <c r="H86" s="7">
        <v>0.38496629999999998</v>
      </c>
      <c r="I86" s="7">
        <v>0.40113470000000001</v>
      </c>
      <c r="J86" s="7">
        <v>6.8993019999999996</v>
      </c>
      <c r="K86" s="7">
        <v>0</v>
      </c>
      <c r="L86" s="7">
        <v>1.08106E-2</v>
      </c>
      <c r="M86" s="7">
        <v>0</v>
      </c>
      <c r="N86" s="7">
        <v>0</v>
      </c>
      <c r="O86" s="7">
        <v>0</v>
      </c>
      <c r="P86" s="7">
        <f ca="1">SUM(OFFSET($A$73,13,1,1,14))</f>
        <v>21.058578199999999</v>
      </c>
      <c r="Q86" s="7">
        <f ca="1">SUM(OFFSET($A$73,13,1,1,12))</f>
        <v>21.058578199999999</v>
      </c>
    </row>
    <row r="87" spans="1:17" x14ac:dyDescent="0.2">
      <c r="A87" s="7">
        <v>13</v>
      </c>
      <c r="B87" s="7">
        <v>6.4999999999999996E-6</v>
      </c>
      <c r="C87" s="7">
        <v>5.49E-5</v>
      </c>
      <c r="D87" s="7">
        <v>1.6369999999999999E-4</v>
      </c>
      <c r="E87" s="7">
        <v>1.183E-4</v>
      </c>
      <c r="F87" s="7">
        <v>6.7849E-3</v>
      </c>
      <c r="G87" s="7">
        <v>0.1873669</v>
      </c>
      <c r="H87" s="7">
        <v>2.69E-5</v>
      </c>
      <c r="I87" s="7">
        <v>1.7099999999999999E-5</v>
      </c>
      <c r="J87" s="7">
        <v>2.89793E-2</v>
      </c>
      <c r="K87" s="7">
        <v>0</v>
      </c>
      <c r="L87" s="7">
        <v>2.778743</v>
      </c>
      <c r="M87" s="7">
        <v>0.15304480000000001</v>
      </c>
      <c r="N87" s="7">
        <v>0</v>
      </c>
      <c r="O87" s="7">
        <v>0</v>
      </c>
      <c r="P87" s="7">
        <f ca="1">SUM(OFFSET($A$73,14,1,1,14))</f>
        <v>3.1553062999999999</v>
      </c>
      <c r="Q87" s="7">
        <f ca="1">SUM(OFFSET($A$73,14,1,1,12))</f>
        <v>3.1553062999999999</v>
      </c>
    </row>
    <row r="88" spans="1:17" x14ac:dyDescent="0.2">
      <c r="A88" s="7">
        <v>14</v>
      </c>
      <c r="B88" s="7">
        <v>1.5E-6</v>
      </c>
      <c r="C88" s="7">
        <v>1.3070000000000001E-4</v>
      </c>
      <c r="D88" s="7">
        <v>2.2025E-3</v>
      </c>
      <c r="E88" s="7">
        <v>7.3780000000000004E-4</v>
      </c>
      <c r="F88" s="7">
        <v>8.1121000000000006E-3</v>
      </c>
      <c r="G88" s="7">
        <v>0.2474712</v>
      </c>
      <c r="H88" s="7">
        <v>6.6299999999999999E-5</v>
      </c>
      <c r="I88" s="7">
        <v>0</v>
      </c>
      <c r="J88" s="7">
        <v>0.14868770000000001</v>
      </c>
      <c r="K88" s="7">
        <v>0</v>
      </c>
      <c r="L88" s="7">
        <v>1.1449320000000001</v>
      </c>
      <c r="M88" s="7">
        <v>1.291166</v>
      </c>
      <c r="N88" s="7">
        <v>0</v>
      </c>
      <c r="O88" s="7">
        <v>0</v>
      </c>
      <c r="P88" s="7">
        <f ca="1">SUM(OFFSET($A$73,15,1,1,14))</f>
        <v>2.8435078000000003</v>
      </c>
      <c r="Q88" s="7">
        <f ca="1">SUM(OFFSET($A$73,15,1,1,12))</f>
        <v>2.8435078000000003</v>
      </c>
    </row>
    <row r="89" spans="1:17" x14ac:dyDescent="0.2">
      <c r="A89" s="7" t="s">
        <v>43</v>
      </c>
      <c r="B89" s="7">
        <f ca="1">SUM(OFFSET($A$73,2,1,14,1))</f>
        <v>214.92215300000004</v>
      </c>
      <c r="C89" s="7">
        <f ca="1">SUM(OFFSET($A$73,2,2,14,1))</f>
        <v>612.76518570000007</v>
      </c>
      <c r="D89" s="7">
        <f ca="1">SUM(OFFSET($A$73,2,3,14,1))</f>
        <v>4951.7585872</v>
      </c>
      <c r="E89" s="7">
        <f ca="1">SUM(OFFSET($A$73,2,4,14,1))</f>
        <v>5770.0686509999996</v>
      </c>
      <c r="F89" s="7">
        <f ca="1">SUM(OFFSET($A$73,2,5,14,1))</f>
        <v>5488.3499590000001</v>
      </c>
      <c r="G89" s="7">
        <f ca="1">SUM(OFFSET($A$73,2,6,14,1))</f>
        <v>1106.1529745</v>
      </c>
      <c r="H89" s="7">
        <f ca="1">SUM(OFFSET($A$73,2,7,14,1))</f>
        <v>1490.7964907000003</v>
      </c>
      <c r="I89" s="7">
        <f ca="1">SUM(OFFSET($A$73,2,8,14,1))</f>
        <v>103.7223315</v>
      </c>
      <c r="J89" s="7">
        <f ca="1">SUM(OFFSET($A$73,2,9,14,1))</f>
        <v>1357.5661085000004</v>
      </c>
      <c r="K89" s="7">
        <f ca="1">SUM(OFFSET($A$73,2,10,14,1))</f>
        <v>30.622366299999992</v>
      </c>
      <c r="L89" s="7">
        <f ca="1">SUM(OFFSET($A$73,2,11,14,1))</f>
        <v>32.059105599999995</v>
      </c>
      <c r="M89" s="7">
        <f ca="1">SUM(OFFSET($A$73,2,12,14,1))</f>
        <v>38.922832</v>
      </c>
      <c r="N89" s="7">
        <f ca="1">SUM(OFFSET($A$73,2,13,14,1))</f>
        <v>0</v>
      </c>
      <c r="O89" s="7">
        <f ca="1">SUM(OFFSET($A$73,2,14,14,1))</f>
        <v>4.1884699999999997E-2</v>
      </c>
      <c r="P89" s="7">
        <f ca="1">SUM(OFFSET($A$73,16,1,1,14))</f>
        <v>21197.7486297</v>
      </c>
      <c r="Q89" s="7">
        <f ca="1">SUM(OFFSET($A$73,16,1,1,12))</f>
        <v>21197.706745</v>
      </c>
    </row>
    <row r="90" spans="1:17" x14ac:dyDescent="0.2">
      <c r="O90" s="12" t="s">
        <v>59</v>
      </c>
      <c r="P90" s="7">
        <f ca="1">SUM(OFFSET($B$75,0,0,12,12))</f>
        <v>21191.707930899982</v>
      </c>
    </row>
    <row r="91" spans="1:17" x14ac:dyDescent="0.2">
      <c r="A91" s="7" t="s">
        <v>97</v>
      </c>
    </row>
    <row r="92" spans="1:17" x14ac:dyDescent="0.2">
      <c r="B92" s="7">
        <v>1</v>
      </c>
      <c r="C92" s="7">
        <v>2</v>
      </c>
      <c r="D92" s="7">
        <v>3</v>
      </c>
      <c r="E92" s="7">
        <v>4</v>
      </c>
      <c r="F92" s="7">
        <v>5</v>
      </c>
      <c r="G92" s="7">
        <v>6</v>
      </c>
      <c r="H92" s="7">
        <v>7</v>
      </c>
      <c r="I92" s="7">
        <v>8</v>
      </c>
      <c r="J92" s="7">
        <v>9</v>
      </c>
      <c r="K92" s="7">
        <v>10</v>
      </c>
      <c r="L92" s="7">
        <v>11</v>
      </c>
      <c r="M92" s="7">
        <v>12</v>
      </c>
      <c r="N92" s="7">
        <v>13</v>
      </c>
      <c r="O92" s="7">
        <v>14</v>
      </c>
      <c r="P92" s="7" t="s">
        <v>43</v>
      </c>
      <c r="Q92" s="7" t="s">
        <v>61</v>
      </c>
    </row>
    <row r="93" spans="1:17" x14ac:dyDescent="0.2">
      <c r="A93" s="7">
        <v>1</v>
      </c>
      <c r="B93" s="7">
        <v>1134.4939999999999</v>
      </c>
      <c r="C93" s="7">
        <v>40.493079999999999</v>
      </c>
      <c r="D93" s="7">
        <v>7.2752150000000002</v>
      </c>
      <c r="E93" s="7">
        <v>6.5424000000000003E-3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f ca="1">SUM(OFFSET($A$91,2,1,1,14))</f>
        <v>1182.2688373999997</v>
      </c>
      <c r="Q93" s="7">
        <f ca="1">SUM(OFFSET($A$91,2,1,1,12))</f>
        <v>1182.2688373999997</v>
      </c>
    </row>
    <row r="94" spans="1:17" x14ac:dyDescent="0.2">
      <c r="A94" s="7">
        <v>2</v>
      </c>
      <c r="B94" s="7">
        <v>54.59599</v>
      </c>
      <c r="C94" s="7">
        <v>3097.4920000000002</v>
      </c>
      <c r="D94" s="7">
        <v>2.355839</v>
      </c>
      <c r="E94" s="7">
        <v>0.55864760000000002</v>
      </c>
      <c r="F94" s="7">
        <v>0.4215198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f ca="1">SUM(OFFSET($A$91,3,1,1,14))</f>
        <v>3155.4239963999999</v>
      </c>
      <c r="Q94" s="7">
        <f ca="1">SUM(OFFSET($A$91,3,1,1,12))</f>
        <v>3155.4239963999999</v>
      </c>
    </row>
    <row r="95" spans="1:17" x14ac:dyDescent="0.2">
      <c r="A95" s="7">
        <v>3</v>
      </c>
      <c r="B95" s="7">
        <v>22.350739999999998</v>
      </c>
      <c r="C95" s="7">
        <v>5.3329779999999998</v>
      </c>
      <c r="D95" s="7">
        <v>14993.98</v>
      </c>
      <c r="E95" s="7">
        <v>1079.239</v>
      </c>
      <c r="F95" s="7">
        <v>1.528162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f ca="1">SUM(OFFSET($A$91,4,1,1,14))</f>
        <v>16102.43088</v>
      </c>
      <c r="Q95" s="7">
        <f ca="1">SUM(OFFSET($A$91,4,1,1,12))</f>
        <v>16102.43088</v>
      </c>
    </row>
    <row r="96" spans="1:17" x14ac:dyDescent="0.2">
      <c r="A96" s="7">
        <v>4</v>
      </c>
      <c r="B96" s="7">
        <v>7.8241000000000005E-3</v>
      </c>
      <c r="C96" s="7">
        <v>1.0517920000000001</v>
      </c>
      <c r="D96" s="7">
        <v>908.59259999999995</v>
      </c>
      <c r="E96" s="7">
        <v>12885.46</v>
      </c>
      <c r="F96" s="7">
        <v>78.885729999999995</v>
      </c>
      <c r="G96" s="7">
        <v>0</v>
      </c>
      <c r="H96" s="7">
        <v>11.24175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f ca="1">SUM(OFFSET($A$91,5,1,1,14))</f>
        <v>13885.239696099998</v>
      </c>
      <c r="Q96" s="7">
        <f ca="1">SUM(OFFSET($A$91,5,1,1,12))</f>
        <v>13885.239696099998</v>
      </c>
    </row>
    <row r="97" spans="1:17" x14ac:dyDescent="0.2">
      <c r="A97" s="7">
        <v>5</v>
      </c>
      <c r="B97" s="7">
        <v>0</v>
      </c>
      <c r="C97" s="7">
        <v>1.5472360000000001</v>
      </c>
      <c r="D97" s="7">
        <v>2.754022</v>
      </c>
      <c r="E97" s="7">
        <v>55.390779999999999</v>
      </c>
      <c r="F97" s="7">
        <v>5598.2179999999998</v>
      </c>
      <c r="G97" s="7">
        <v>95.554839999999999</v>
      </c>
      <c r="H97" s="7">
        <v>5.4748390000000002</v>
      </c>
      <c r="I97" s="7">
        <v>3.5135049999999999</v>
      </c>
      <c r="J97" s="7">
        <v>5.6127710000000004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f ca="1">SUM(OFFSET($A$91,6,1,1,14))</f>
        <v>5768.0659930000002</v>
      </c>
      <c r="Q97" s="7">
        <f ca="1">SUM(OFFSET($A$91,6,1,1,12))</f>
        <v>5768.0659930000002</v>
      </c>
    </row>
    <row r="98" spans="1:17" x14ac:dyDescent="0.2">
      <c r="A98" s="7">
        <v>6</v>
      </c>
      <c r="B98" s="7">
        <v>0</v>
      </c>
      <c r="C98" s="7">
        <v>0</v>
      </c>
      <c r="D98" s="7">
        <v>0</v>
      </c>
      <c r="E98" s="7">
        <v>0</v>
      </c>
      <c r="F98" s="7">
        <v>100.81229999999999</v>
      </c>
      <c r="G98" s="7">
        <v>3062.768</v>
      </c>
      <c r="H98" s="7">
        <v>0</v>
      </c>
      <c r="I98" s="7">
        <v>0</v>
      </c>
      <c r="J98" s="7">
        <v>7.4193999999999996E-2</v>
      </c>
      <c r="K98" s="7">
        <v>0</v>
      </c>
      <c r="L98" s="7">
        <v>9.7322400000000003E-2</v>
      </c>
      <c r="M98" s="7">
        <v>0</v>
      </c>
      <c r="N98" s="7">
        <v>0</v>
      </c>
      <c r="O98" s="7">
        <v>0</v>
      </c>
      <c r="P98" s="7">
        <f ca="1">SUM(OFFSET($A$91,7,1,1,14))</f>
        <v>3163.7518163999998</v>
      </c>
      <c r="Q98" s="7">
        <f ca="1">SUM(OFFSET($A$91,7,1,1,12))</f>
        <v>3163.7518163999998</v>
      </c>
    </row>
    <row r="99" spans="1:17" x14ac:dyDescent="0.2">
      <c r="A99" s="7">
        <v>7</v>
      </c>
      <c r="B99" s="7">
        <v>0</v>
      </c>
      <c r="C99" s="7">
        <v>0</v>
      </c>
      <c r="D99" s="7">
        <v>0</v>
      </c>
      <c r="E99" s="7">
        <v>2.2449520000000001</v>
      </c>
      <c r="F99" s="7">
        <v>12.102510000000001</v>
      </c>
      <c r="G99" s="7">
        <v>0</v>
      </c>
      <c r="H99" s="7">
        <v>3004.69</v>
      </c>
      <c r="I99" s="7">
        <v>0.20408960000000001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f ca="1">SUM(OFFSET($A$91,8,1,1,14))</f>
        <v>3019.2415516000001</v>
      </c>
      <c r="Q99" s="7">
        <f ca="1">SUM(OFFSET($A$91,8,1,1,12))</f>
        <v>3019.2415516000001</v>
      </c>
    </row>
    <row r="100" spans="1:17" x14ac:dyDescent="0.2">
      <c r="A100" s="7">
        <v>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9.4482000000000003E-3</v>
      </c>
      <c r="I100" s="7">
        <v>958.66899999999998</v>
      </c>
      <c r="J100" s="7">
        <v>0.43083500000000002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f ca="1">SUM(OFFSET($A$91,9,1,1,14))</f>
        <v>959.10928319999994</v>
      </c>
      <c r="Q100" s="7">
        <f ca="1">SUM(OFFSET($A$91,9,1,1,12))</f>
        <v>959.10928319999994</v>
      </c>
    </row>
    <row r="101" spans="1:17" x14ac:dyDescent="0.2">
      <c r="A101" s="7">
        <v>9</v>
      </c>
      <c r="B101" s="7">
        <v>0</v>
      </c>
      <c r="C101" s="7">
        <v>0</v>
      </c>
      <c r="D101" s="7">
        <v>0</v>
      </c>
      <c r="E101" s="7">
        <v>0</v>
      </c>
      <c r="F101" s="7">
        <v>1.5417270000000001</v>
      </c>
      <c r="G101" s="7">
        <v>7.2351299999999993E-2</v>
      </c>
      <c r="H101" s="7">
        <v>3.7657299999999998E-2</v>
      </c>
      <c r="I101" s="7">
        <v>2.0022509999999998</v>
      </c>
      <c r="J101" s="7">
        <v>3660.0949999999998</v>
      </c>
      <c r="K101" s="7">
        <v>1.521134</v>
      </c>
      <c r="L101" s="7">
        <v>2.6794000000000002E-3</v>
      </c>
      <c r="M101" s="7">
        <v>75.923649999999995</v>
      </c>
      <c r="N101" s="7">
        <v>0</v>
      </c>
      <c r="O101" s="7">
        <v>0</v>
      </c>
      <c r="P101" s="7">
        <f ca="1">SUM(OFFSET($A$91,10,1,1,14))</f>
        <v>3741.1964499999999</v>
      </c>
      <c r="Q101" s="7">
        <f ca="1">SUM(OFFSET($A$91,10,1,1,12))</f>
        <v>3741.1964499999999</v>
      </c>
    </row>
    <row r="102" spans="1:17" x14ac:dyDescent="0.2">
      <c r="A102" s="7">
        <v>10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2.0973929999999998</v>
      </c>
      <c r="K102" s="7">
        <v>2121.7139999999999</v>
      </c>
      <c r="L102" s="7">
        <v>0</v>
      </c>
      <c r="M102" s="7">
        <v>0.14099200000000001</v>
      </c>
      <c r="N102" s="7">
        <v>0</v>
      </c>
      <c r="O102" s="7">
        <v>0</v>
      </c>
      <c r="P102" s="7">
        <f ca="1">SUM(OFFSET($A$91,11,1,1,14))</f>
        <v>2123.952385</v>
      </c>
      <c r="Q102" s="7">
        <f ca="1">SUM(OFFSET($A$91,11,1,1,12))</f>
        <v>2123.952385</v>
      </c>
    </row>
    <row r="103" spans="1:17" x14ac:dyDescent="0.2">
      <c r="A103" s="7">
        <v>11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0.17791689999999999</v>
      </c>
      <c r="H103" s="7">
        <v>0</v>
      </c>
      <c r="I103" s="7">
        <v>0</v>
      </c>
      <c r="J103" s="7">
        <v>3.4377199999999997E-2</v>
      </c>
      <c r="K103" s="7">
        <v>0</v>
      </c>
      <c r="L103" s="7">
        <v>1033.922</v>
      </c>
      <c r="M103" s="7">
        <v>0.1386308</v>
      </c>
      <c r="N103" s="7">
        <v>0.10401009999999999</v>
      </c>
      <c r="O103" s="7">
        <v>0</v>
      </c>
      <c r="P103" s="7">
        <f ca="1">SUM(OFFSET($A$91,12,1,1,14))</f>
        <v>1034.3769350000002</v>
      </c>
      <c r="Q103" s="7">
        <f ca="1">SUM(OFFSET($A$91,12,1,1,12))</f>
        <v>1034.2729249000001</v>
      </c>
    </row>
    <row r="104" spans="1:17" x14ac:dyDescent="0.2">
      <c r="A104" s="7">
        <v>12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38.303530000000002</v>
      </c>
      <c r="K104" s="7">
        <v>0.6912623</v>
      </c>
      <c r="L104" s="7">
        <v>0.70962409999999998</v>
      </c>
      <c r="M104" s="7">
        <v>1953.241</v>
      </c>
      <c r="N104" s="7">
        <v>0</v>
      </c>
      <c r="O104" s="7">
        <v>0.51373170000000001</v>
      </c>
      <c r="P104" s="7">
        <f ca="1">SUM(OFFSET($A$91,13,1,1,14))</f>
        <v>1993.4591481</v>
      </c>
      <c r="Q104" s="7">
        <f ca="1">SUM(OFFSET($A$91,13,1,1,12))</f>
        <v>1992.9454163999999</v>
      </c>
    </row>
    <row r="105" spans="1:17" x14ac:dyDescent="0.2">
      <c r="A105" s="7">
        <v>13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0.1425247</v>
      </c>
      <c r="M105" s="7">
        <v>0</v>
      </c>
      <c r="N105" s="7">
        <v>330.5625</v>
      </c>
      <c r="O105" s="7">
        <v>9.7998799999999997E-2</v>
      </c>
      <c r="P105" s="7">
        <f ca="1">SUM(OFFSET($A$91,14,1,1,14))</f>
        <v>330.80302350000005</v>
      </c>
      <c r="Q105" s="7">
        <f ca="1">SUM(OFFSET($A$91,14,1,1,12))</f>
        <v>0.1425247</v>
      </c>
    </row>
    <row r="106" spans="1:17" x14ac:dyDescent="0.2">
      <c r="A106" s="7">
        <v>14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0.53325319999999998</v>
      </c>
      <c r="N106" s="7">
        <v>1.2212810000000001</v>
      </c>
      <c r="O106" s="7">
        <v>2981.8989999999999</v>
      </c>
      <c r="P106" s="7">
        <f ca="1">SUM(OFFSET($A$91,15,1,1,14))</f>
        <v>2983.6535341999997</v>
      </c>
      <c r="Q106" s="7">
        <f ca="1">SUM(OFFSET($A$91,15,1,1,12))</f>
        <v>0.53325319999999998</v>
      </c>
    </row>
    <row r="107" spans="1:17" x14ac:dyDescent="0.2">
      <c r="A107" s="7" t="s">
        <v>43</v>
      </c>
      <c r="B107" s="7">
        <f ca="1">SUM(OFFSET($A$91,2,1,14,1))</f>
        <v>1211.4485541000001</v>
      </c>
      <c r="C107" s="7">
        <f ca="1">SUM(OFFSET($A$91,2,2,14,1))</f>
        <v>3145.9170860000004</v>
      </c>
      <c r="D107" s="7">
        <f ca="1">SUM(OFFSET($A$91,2,3,14,1))</f>
        <v>15914.957675999998</v>
      </c>
      <c r="E107" s="7">
        <f ca="1">SUM(OFFSET($A$91,2,4,14,1))</f>
        <v>14022.899921999999</v>
      </c>
      <c r="F107" s="7">
        <f ca="1">SUM(OFFSET($A$91,2,5,14,1))</f>
        <v>5793.5099487999987</v>
      </c>
      <c r="G107" s="7">
        <f ca="1">SUM(OFFSET($A$91,2,6,14,1))</f>
        <v>3158.5731081999998</v>
      </c>
      <c r="H107" s="7">
        <f ca="1">SUM(OFFSET($A$91,2,7,14,1))</f>
        <v>3021.4536945</v>
      </c>
      <c r="I107" s="7">
        <f ca="1">SUM(OFFSET($A$91,2,8,14,1))</f>
        <v>964.38884559999997</v>
      </c>
      <c r="J107" s="7">
        <f ca="1">SUM(OFFSET($A$91,2,9,14,1))</f>
        <v>3706.6481002</v>
      </c>
      <c r="K107" s="7">
        <f ca="1">SUM(OFFSET($A$91,2,10,14,1))</f>
        <v>2123.9263962999999</v>
      </c>
      <c r="L107" s="7">
        <f ca="1">SUM(OFFSET($A$91,2,11,14,1))</f>
        <v>1034.8741505999999</v>
      </c>
      <c r="M107" s="7">
        <f ca="1">SUM(OFFSET($A$91,2,12,14,1))</f>
        <v>2029.9775259999999</v>
      </c>
      <c r="N107" s="7">
        <f ca="1">SUM(OFFSET($A$91,2,13,14,1))</f>
        <v>331.88779109999996</v>
      </c>
      <c r="O107" s="7">
        <f ca="1">SUM(OFFSET($A$91,2,14,14,1))</f>
        <v>2982.5107304999997</v>
      </c>
      <c r="P107" s="7">
        <f ca="1">SUM(OFFSET($A$91,16,1,1,14))</f>
        <v>59442.973529899995</v>
      </c>
      <c r="Q107" s="7">
        <f ca="1">SUM(OFFSET($A$91,16,1,1,12))</f>
        <v>56128.575008299995</v>
      </c>
    </row>
    <row r="108" spans="1:17" x14ac:dyDescent="0.2">
      <c r="O108" s="12" t="s">
        <v>59</v>
      </c>
      <c r="P108" s="7">
        <f ca="1">SUM(OFFSET($B$93,0,0,12,12))</f>
        <v>56127.899230400006</v>
      </c>
    </row>
    <row r="109" spans="1:17" x14ac:dyDescent="0.2">
      <c r="A109" s="7" t="s">
        <v>99</v>
      </c>
    </row>
    <row r="110" spans="1:17" x14ac:dyDescent="0.2">
      <c r="B110" s="7">
        <v>1</v>
      </c>
      <c r="C110" s="7">
        <v>2</v>
      </c>
      <c r="D110" s="7">
        <v>3</v>
      </c>
      <c r="E110" s="7">
        <v>4</v>
      </c>
      <c r="F110" s="7">
        <v>5</v>
      </c>
      <c r="G110" s="7">
        <v>6</v>
      </c>
      <c r="H110" s="7">
        <v>7</v>
      </c>
      <c r="I110" s="7">
        <v>8</v>
      </c>
      <c r="J110" s="7">
        <v>9</v>
      </c>
      <c r="K110" s="7">
        <v>10</v>
      </c>
      <c r="L110" s="7">
        <v>11</v>
      </c>
      <c r="M110" s="7">
        <v>12</v>
      </c>
      <c r="N110" s="7">
        <v>13</v>
      </c>
      <c r="O110" s="7">
        <v>14</v>
      </c>
      <c r="P110" s="7" t="s">
        <v>43</v>
      </c>
      <c r="Q110" s="7" t="s">
        <v>61</v>
      </c>
    </row>
    <row r="111" spans="1:17" x14ac:dyDescent="0.2">
      <c r="A111" s="7">
        <v>1</v>
      </c>
      <c r="B111" s="7">
        <v>70.231700000000004</v>
      </c>
      <c r="C111" s="7">
        <v>15.405239999999999</v>
      </c>
      <c r="D111" s="7">
        <v>15.22203</v>
      </c>
      <c r="E111" s="7">
        <v>1.451962</v>
      </c>
      <c r="F111" s="7">
        <v>8.5155599999999998E-2</v>
      </c>
      <c r="G111" s="7">
        <v>0</v>
      </c>
      <c r="H111" s="7">
        <v>1.0114E-3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f ca="1">SUM(OFFSET($A$109,2,1,1,14))</f>
        <v>102.397099</v>
      </c>
      <c r="Q111" s="7">
        <f ca="1">SUM(OFFSET($A$109,2,1,1,12))</f>
        <v>102.397099</v>
      </c>
    </row>
    <row r="112" spans="1:17" x14ac:dyDescent="0.2">
      <c r="A112" s="7">
        <v>2</v>
      </c>
      <c r="B112" s="7">
        <v>22.420929999999998</v>
      </c>
      <c r="C112" s="7">
        <v>228.57560000000001</v>
      </c>
      <c r="D112" s="7">
        <v>21.069240000000001</v>
      </c>
      <c r="E112" s="7">
        <v>6.8648689999999997</v>
      </c>
      <c r="F112" s="7">
        <v>4.3109529999999996</v>
      </c>
      <c r="G112" s="7">
        <v>3.0754299999999998E-2</v>
      </c>
      <c r="H112" s="7">
        <v>6.6695000000000001E-3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f ca="1">SUM(OFFSET($A$109,3,1,1,14))</f>
        <v>283.27901579999997</v>
      </c>
      <c r="Q112" s="7">
        <f ca="1">SUM(OFFSET($A$109,3,1,1,12))</f>
        <v>283.27901579999997</v>
      </c>
    </row>
    <row r="113" spans="1:17" x14ac:dyDescent="0.2">
      <c r="A113" s="7">
        <v>3</v>
      </c>
      <c r="B113" s="7">
        <v>47.157519999999998</v>
      </c>
      <c r="C113" s="7">
        <v>33.264119999999998</v>
      </c>
      <c r="D113" s="7">
        <v>608.61339999999996</v>
      </c>
      <c r="E113" s="7">
        <v>749.31399999999996</v>
      </c>
      <c r="F113" s="7">
        <v>28.663</v>
      </c>
      <c r="G113" s="7">
        <v>0.11980780000000001</v>
      </c>
      <c r="H113" s="7">
        <v>11.511200000000001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f ca="1">SUM(OFFSET($A$109,4,1,1,14))</f>
        <v>1478.6430478</v>
      </c>
      <c r="Q113" s="7">
        <f ca="1">SUM(OFFSET($A$109,4,1,1,12))</f>
        <v>1478.6430478</v>
      </c>
    </row>
    <row r="114" spans="1:17" x14ac:dyDescent="0.2">
      <c r="A114" s="7">
        <v>4</v>
      </c>
      <c r="B114" s="7">
        <v>3.4325670000000001</v>
      </c>
      <c r="C114" s="7">
        <v>9.8034579999999991</v>
      </c>
      <c r="D114" s="7">
        <v>623.75720000000001</v>
      </c>
      <c r="E114" s="7">
        <v>3992.9870000000001</v>
      </c>
      <c r="F114" s="7">
        <v>76.916560000000004</v>
      </c>
      <c r="G114" s="7">
        <v>1.267584</v>
      </c>
      <c r="H114" s="7">
        <v>39.986330000000002</v>
      </c>
      <c r="I114" s="7">
        <v>0.23063349999999999</v>
      </c>
      <c r="J114" s="7">
        <v>0.2039453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f ca="1">SUM(OFFSET($A$109,5,1,1,14))</f>
        <v>4748.5852777999999</v>
      </c>
      <c r="Q114" s="7">
        <f ca="1">SUM(OFFSET($A$109,5,1,1,12))</f>
        <v>4748.5852777999999</v>
      </c>
    </row>
    <row r="115" spans="1:17" x14ac:dyDescent="0.2">
      <c r="A115" s="7">
        <v>5</v>
      </c>
      <c r="B115" s="7">
        <v>0.2472201</v>
      </c>
      <c r="C115" s="7">
        <v>7.0600290000000001</v>
      </c>
      <c r="D115" s="7">
        <v>33.551090000000002</v>
      </c>
      <c r="E115" s="7">
        <v>65.783069999999995</v>
      </c>
      <c r="F115" s="7">
        <v>449.01429999999999</v>
      </c>
      <c r="G115" s="7">
        <v>31.393280000000001</v>
      </c>
      <c r="H115" s="7">
        <v>4.1216109999999997</v>
      </c>
      <c r="I115" s="7">
        <v>1.940345</v>
      </c>
      <c r="J115" s="7">
        <v>14.27563</v>
      </c>
      <c r="K115" s="7">
        <v>0</v>
      </c>
      <c r="L115" s="7">
        <v>1.6671499999999999E-2</v>
      </c>
      <c r="M115" s="7">
        <v>0</v>
      </c>
      <c r="N115" s="7">
        <v>0</v>
      </c>
      <c r="O115" s="7">
        <v>0</v>
      </c>
      <c r="P115" s="7">
        <f ca="1">SUM(OFFSET($A$109,6,1,1,14))</f>
        <v>607.40324659999999</v>
      </c>
      <c r="Q115" s="7">
        <f ca="1">SUM(OFFSET($A$109,6,1,1,12))</f>
        <v>607.40324659999999</v>
      </c>
    </row>
    <row r="116" spans="1:17" x14ac:dyDescent="0.2">
      <c r="A116" s="7">
        <v>6</v>
      </c>
      <c r="B116" s="7">
        <v>0</v>
      </c>
      <c r="C116" s="7">
        <v>4.6809999999999997E-2</v>
      </c>
      <c r="D116" s="7">
        <v>0.18305560000000001</v>
      </c>
      <c r="E116" s="7">
        <v>1.1657379999999999</v>
      </c>
      <c r="F116" s="7">
        <v>21.475829999999998</v>
      </c>
      <c r="G116" s="7">
        <v>248.96969999999999</v>
      </c>
      <c r="H116" s="7">
        <v>6.8704000000000001E-2</v>
      </c>
      <c r="I116" s="7">
        <v>3.16537E-2</v>
      </c>
      <c r="J116" s="7">
        <v>2.9308920000000001</v>
      </c>
      <c r="K116" s="7">
        <v>0</v>
      </c>
      <c r="L116" s="7">
        <v>2.5167989999999998</v>
      </c>
      <c r="M116" s="7">
        <v>2.4832199999999999E-2</v>
      </c>
      <c r="N116" s="7">
        <v>0</v>
      </c>
      <c r="O116" s="7">
        <v>0</v>
      </c>
      <c r="P116" s="7">
        <f ca="1">SUM(OFFSET($A$109,7,1,1,14))</f>
        <v>277.41401450000001</v>
      </c>
      <c r="Q116" s="7">
        <f ca="1">SUM(OFFSET($A$109,7,1,1,12))</f>
        <v>277.41401450000001</v>
      </c>
    </row>
    <row r="117" spans="1:17" x14ac:dyDescent="0.2">
      <c r="A117" s="7">
        <v>7</v>
      </c>
      <c r="B117" s="7">
        <v>1.3310000000000001E-4</v>
      </c>
      <c r="C117" s="7">
        <v>2.2737999999999999E-3</v>
      </c>
      <c r="D117" s="7">
        <v>5.6262480000000004</v>
      </c>
      <c r="E117" s="7">
        <v>15.239470000000001</v>
      </c>
      <c r="F117" s="7">
        <v>2.6299869999999999</v>
      </c>
      <c r="G117" s="7">
        <v>4.4045099999999997E-2</v>
      </c>
      <c r="H117" s="7">
        <v>227.80109999999999</v>
      </c>
      <c r="I117" s="7">
        <v>1.3715379999999999</v>
      </c>
      <c r="J117" s="7">
        <v>0.71046330000000002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f ca="1">SUM(OFFSET($A$109,8,1,1,14))</f>
        <v>253.42525829999997</v>
      </c>
      <c r="Q117" s="7">
        <f ca="1">SUM(OFFSET($A$109,8,1,1,12))</f>
        <v>253.42525829999997</v>
      </c>
    </row>
    <row r="118" spans="1:17" x14ac:dyDescent="0.2">
      <c r="A118" s="7">
        <v>8</v>
      </c>
      <c r="B118" s="7">
        <v>0</v>
      </c>
      <c r="C118" s="7">
        <v>0</v>
      </c>
      <c r="D118" s="7">
        <v>0</v>
      </c>
      <c r="E118" s="7">
        <v>7.8876199999999994E-2</v>
      </c>
      <c r="F118" s="7">
        <v>6.9373999999999998E-3</v>
      </c>
      <c r="G118" s="7">
        <v>4.3000000000000003E-6</v>
      </c>
      <c r="H118" s="7">
        <v>1.5206949999999999</v>
      </c>
      <c r="I118" s="7">
        <v>54.849429999999998</v>
      </c>
      <c r="J118" s="7">
        <v>0.67064939999999995</v>
      </c>
      <c r="K118" s="7">
        <v>2.1566700000000001E-2</v>
      </c>
      <c r="L118" s="7">
        <v>0</v>
      </c>
      <c r="M118" s="7">
        <v>0</v>
      </c>
      <c r="N118" s="7">
        <v>0</v>
      </c>
      <c r="O118" s="7">
        <v>0</v>
      </c>
      <c r="P118" s="7">
        <f ca="1">SUM(OFFSET($A$109,9,1,1,14))</f>
        <v>57.148159</v>
      </c>
      <c r="Q118" s="7">
        <f ca="1">SUM(OFFSET($A$109,9,1,1,12))</f>
        <v>57.148159</v>
      </c>
    </row>
    <row r="119" spans="1:17" x14ac:dyDescent="0.2">
      <c r="A119" s="7">
        <v>9</v>
      </c>
      <c r="B119" s="7">
        <v>0</v>
      </c>
      <c r="C119" s="7">
        <v>0</v>
      </c>
      <c r="D119" s="7">
        <v>0</v>
      </c>
      <c r="E119" s="7">
        <v>8.3521999999999999E-2</v>
      </c>
      <c r="F119" s="7">
        <v>5.0563459999999996</v>
      </c>
      <c r="G119" s="7">
        <v>1.9944249999999999</v>
      </c>
      <c r="H119" s="7">
        <v>0.95796899999999996</v>
      </c>
      <c r="I119" s="7">
        <v>2.6789619999999998</v>
      </c>
      <c r="J119" s="7">
        <v>321.68799999999999</v>
      </c>
      <c r="K119" s="7">
        <v>6.5348879999999996</v>
      </c>
      <c r="L119" s="7">
        <v>0.15332509999999999</v>
      </c>
      <c r="M119" s="7">
        <v>13.417920000000001</v>
      </c>
      <c r="N119" s="7">
        <v>0</v>
      </c>
      <c r="O119" s="7">
        <v>0</v>
      </c>
      <c r="P119" s="7">
        <f ca="1">SUM(OFFSET($A$109,10,1,1,14))</f>
        <v>352.56535710000003</v>
      </c>
      <c r="Q119" s="7">
        <f ca="1">SUM(OFFSET($A$109,10,1,1,12))</f>
        <v>352.56535710000003</v>
      </c>
    </row>
    <row r="120" spans="1:17" x14ac:dyDescent="0.2">
      <c r="A120" s="7">
        <v>10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6.0636900000000001E-2</v>
      </c>
      <c r="J120" s="7">
        <v>7.6029669999999996</v>
      </c>
      <c r="K120" s="7">
        <v>137.67660000000001</v>
      </c>
      <c r="L120" s="7">
        <v>0</v>
      </c>
      <c r="M120" s="7">
        <v>1.0299959999999999</v>
      </c>
      <c r="N120" s="7">
        <v>0</v>
      </c>
      <c r="O120" s="7">
        <v>0</v>
      </c>
      <c r="P120" s="7">
        <f ca="1">SUM(OFFSET($A$109,11,1,1,14))</f>
        <v>146.37019990000002</v>
      </c>
      <c r="Q120" s="7">
        <f ca="1">SUM(OFFSET($A$109,11,1,1,12))</f>
        <v>146.37019990000002</v>
      </c>
    </row>
    <row r="121" spans="1:17" x14ac:dyDescent="0.2">
      <c r="A121" s="7">
        <v>11</v>
      </c>
      <c r="B121" s="7">
        <v>0</v>
      </c>
      <c r="C121" s="7">
        <v>0</v>
      </c>
      <c r="D121" s="7">
        <v>0</v>
      </c>
      <c r="E121" s="7">
        <v>0</v>
      </c>
      <c r="F121" s="7">
        <v>6.1266999999999997E-3</v>
      </c>
      <c r="G121" s="7">
        <v>2.701311</v>
      </c>
      <c r="H121" s="7">
        <v>0</v>
      </c>
      <c r="I121" s="7">
        <v>0</v>
      </c>
      <c r="J121" s="7">
        <v>0.20547309999999999</v>
      </c>
      <c r="K121" s="7">
        <v>0</v>
      </c>
      <c r="L121" s="7">
        <v>84.141450000000006</v>
      </c>
      <c r="M121" s="7">
        <v>0.42047800000000002</v>
      </c>
      <c r="N121" s="7">
        <v>0.30313770000000001</v>
      </c>
      <c r="O121" s="7">
        <v>5.3459999999999998E-4</v>
      </c>
      <c r="P121" s="7">
        <f ca="1">SUM(OFFSET($A$109,12,1,1,14))</f>
        <v>87.778511100000003</v>
      </c>
      <c r="Q121" s="7">
        <f ca="1">SUM(OFFSET($A$109,12,1,1,12))</f>
        <v>87.474838800000015</v>
      </c>
    </row>
    <row r="122" spans="1:17" x14ac:dyDescent="0.2">
      <c r="A122" s="7">
        <v>12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2.9094700000000001E-2</v>
      </c>
      <c r="H122" s="7">
        <v>0</v>
      </c>
      <c r="I122" s="7">
        <v>0</v>
      </c>
      <c r="J122" s="7">
        <v>10.967739999999999</v>
      </c>
      <c r="K122" s="7">
        <v>1.541901</v>
      </c>
      <c r="L122" s="7">
        <v>1.223255</v>
      </c>
      <c r="M122" s="7">
        <v>132.07210000000001</v>
      </c>
      <c r="N122" s="7">
        <v>2.8029999999999998E-4</v>
      </c>
      <c r="O122" s="7">
        <v>3.459206</v>
      </c>
      <c r="P122" s="7">
        <f ca="1">SUM(OFFSET($A$109,13,1,1,14))</f>
        <v>149.29357699999997</v>
      </c>
      <c r="Q122" s="7">
        <f ca="1">SUM(OFFSET($A$109,13,1,1,12))</f>
        <v>145.83409069999999</v>
      </c>
    </row>
    <row r="123" spans="1:17" x14ac:dyDescent="0.2">
      <c r="A123" s="7">
        <v>13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0.56429589999999996</v>
      </c>
      <c r="M123" s="7">
        <v>1.3410000000000001E-4</v>
      </c>
      <c r="N123" s="7">
        <v>29.95354</v>
      </c>
      <c r="O123" s="7">
        <v>1.281892</v>
      </c>
      <c r="P123" s="7">
        <f ca="1">SUM(OFFSET($A$109,14,1,1,14))</f>
        <v>31.799862000000001</v>
      </c>
      <c r="Q123" s="7">
        <f ca="1">SUM(OFFSET($A$109,14,1,1,12))</f>
        <v>0.56442999999999999</v>
      </c>
    </row>
    <row r="124" spans="1:17" x14ac:dyDescent="0.2">
      <c r="A124" s="7">
        <v>14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9.5049999999999996E-4</v>
      </c>
      <c r="M124" s="7">
        <v>1.875084</v>
      </c>
      <c r="N124" s="7">
        <v>2.1907079999999999</v>
      </c>
      <c r="O124" s="7">
        <v>248.02500000000001</v>
      </c>
      <c r="P124" s="7">
        <f ca="1">SUM(OFFSET($A$109,15,1,1,14))</f>
        <v>252.09174250000001</v>
      </c>
      <c r="Q124" s="7">
        <f ca="1">SUM(OFFSET($A$109,15,1,1,12))</f>
        <v>1.8760345</v>
      </c>
    </row>
    <row r="125" spans="1:17" x14ac:dyDescent="0.2">
      <c r="A125" s="7" t="s">
        <v>43</v>
      </c>
      <c r="B125" s="7">
        <f ca="1">SUM(OFFSET($A$109,2,1,14,1))</f>
        <v>143.49007019999999</v>
      </c>
      <c r="C125" s="7">
        <f ca="1">SUM(OFFSET($A$109,2,2,14,1))</f>
        <v>294.15753079999996</v>
      </c>
      <c r="D125" s="7">
        <f ca="1">SUM(OFFSET($A$109,2,3,14,1))</f>
        <v>1308.0222635999999</v>
      </c>
      <c r="E125" s="7">
        <f ca="1">SUM(OFFSET($A$109,2,4,14,1))</f>
        <v>4832.9685072000002</v>
      </c>
      <c r="F125" s="7">
        <f ca="1">SUM(OFFSET($A$109,2,5,14,1))</f>
        <v>588.16519569999991</v>
      </c>
      <c r="G125" s="7">
        <f ca="1">SUM(OFFSET($A$109,2,6,14,1))</f>
        <v>286.55000619999993</v>
      </c>
      <c r="H125" s="7">
        <f ca="1">SUM(OFFSET($A$109,2,7,14,1))</f>
        <v>285.97528989999995</v>
      </c>
      <c r="I125" s="7">
        <f ca="1">SUM(OFFSET($A$109,2,8,14,1))</f>
        <v>61.163199099999993</v>
      </c>
      <c r="J125" s="7">
        <f ca="1">SUM(OFFSET($A$109,2,9,14,1))</f>
        <v>359.25576009999997</v>
      </c>
      <c r="K125" s="7">
        <f ca="1">SUM(OFFSET($A$109,2,10,14,1))</f>
        <v>145.77495569999999</v>
      </c>
      <c r="L125" s="7">
        <f ca="1">SUM(OFFSET($A$109,2,11,14,1))</f>
        <v>88.616747000000004</v>
      </c>
      <c r="M125" s="7">
        <f ca="1">SUM(OFFSET($A$109,2,12,14,1))</f>
        <v>148.84054429999998</v>
      </c>
      <c r="N125" s="7">
        <f ca="1">SUM(OFFSET($A$109,2,13,14,1))</f>
        <v>32.447665999999998</v>
      </c>
      <c r="O125" s="7">
        <f ca="1">SUM(OFFSET($A$109,2,14,14,1))</f>
        <v>252.76663260000001</v>
      </c>
      <c r="P125" s="7">
        <f ca="1">SUM(OFFSET($A$109,16,1,1,14))</f>
        <v>8828.194368399998</v>
      </c>
      <c r="Q125" s="7">
        <f ca="1">SUM(OFFSET($A$109,16,1,1,12))</f>
        <v>8542.9800697999981</v>
      </c>
    </row>
    <row r="126" spans="1:17" x14ac:dyDescent="0.2">
      <c r="O126" s="12" t="s">
        <v>59</v>
      </c>
      <c r="P126" s="7">
        <f ca="1">SUM(OFFSET($B$111,0,0,12,12))</f>
        <v>8540.5396053000022</v>
      </c>
    </row>
    <row r="127" spans="1:17" x14ac:dyDescent="0.2">
      <c r="A127" s="7" t="s">
        <v>101</v>
      </c>
    </row>
    <row r="128" spans="1:17" x14ac:dyDescent="0.2">
      <c r="B128" s="7">
        <v>1</v>
      </c>
      <c r="C128" s="7">
        <v>2</v>
      </c>
      <c r="D128" s="7">
        <v>3</v>
      </c>
      <c r="E128" s="7">
        <v>4</v>
      </c>
      <c r="F128" s="7">
        <v>5</v>
      </c>
      <c r="G128" s="7">
        <v>6</v>
      </c>
      <c r="H128" s="7">
        <v>7</v>
      </c>
      <c r="I128" s="7">
        <v>8</v>
      </c>
      <c r="J128" s="7">
        <v>9</v>
      </c>
      <c r="K128" s="7">
        <v>10</v>
      </c>
      <c r="L128" s="7">
        <v>11</v>
      </c>
      <c r="M128" s="7">
        <v>12</v>
      </c>
      <c r="N128" s="7">
        <v>13</v>
      </c>
      <c r="O128" s="7">
        <v>14</v>
      </c>
      <c r="P128" s="7" t="s">
        <v>43</v>
      </c>
      <c r="Q128" s="7" t="s">
        <v>61</v>
      </c>
    </row>
    <row r="129" spans="1:17" x14ac:dyDescent="0.2">
      <c r="A129" s="7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f ca="1">SUM(OFFSET($A$127,2,1,1,14))</f>
        <v>0</v>
      </c>
      <c r="Q129" s="7">
        <f ca="1">SUM(OFFSET($A$127,2,1,1,12))</f>
        <v>0</v>
      </c>
    </row>
    <row r="130" spans="1:17" x14ac:dyDescent="0.2">
      <c r="A130" s="7">
        <v>2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f ca="1">SUM(OFFSET($A$127,3,1,1,14))</f>
        <v>0</v>
      </c>
      <c r="Q130" s="7">
        <f ca="1">SUM(OFFSET($A$127,3,1,1,12))</f>
        <v>0</v>
      </c>
    </row>
    <row r="131" spans="1:17" x14ac:dyDescent="0.2">
      <c r="A131" s="7">
        <v>3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f ca="1">SUM(OFFSET($A$127,4,1,1,14))</f>
        <v>0</v>
      </c>
      <c r="Q131" s="7">
        <f ca="1">SUM(OFFSET($A$127,4,1,1,12))</f>
        <v>0</v>
      </c>
    </row>
    <row r="132" spans="1:17" x14ac:dyDescent="0.2">
      <c r="A132" s="7">
        <v>4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f ca="1">SUM(OFFSET($A$127,5,1,1,14))</f>
        <v>0</v>
      </c>
      <c r="Q132" s="7">
        <f ca="1">SUM(OFFSET($A$127,5,1,1,12))</f>
        <v>0</v>
      </c>
    </row>
    <row r="133" spans="1:17" x14ac:dyDescent="0.2">
      <c r="A133" s="7">
        <v>5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f ca="1">SUM(OFFSET($A$127,6,1,1,14))</f>
        <v>0</v>
      </c>
      <c r="Q133" s="7">
        <f ca="1">SUM(OFFSET($A$127,6,1,1,12))</f>
        <v>0</v>
      </c>
    </row>
    <row r="134" spans="1:17" x14ac:dyDescent="0.2">
      <c r="A134" s="7">
        <v>6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f ca="1">SUM(OFFSET($A$127,7,1,1,14))</f>
        <v>0</v>
      </c>
      <c r="Q134" s="7">
        <f ca="1">SUM(OFFSET($A$127,7,1,1,12))</f>
        <v>0</v>
      </c>
    </row>
    <row r="135" spans="1:17" x14ac:dyDescent="0.2">
      <c r="A135" s="7">
        <v>7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f ca="1">SUM(OFFSET($A$127,8,1,1,14))</f>
        <v>0</v>
      </c>
      <c r="Q135" s="7">
        <f ca="1">SUM(OFFSET($A$127,8,1,1,12))</f>
        <v>0</v>
      </c>
    </row>
    <row r="136" spans="1:17" x14ac:dyDescent="0.2">
      <c r="A136" s="7">
        <v>8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f ca="1">SUM(OFFSET($A$127,9,1,1,14))</f>
        <v>0</v>
      </c>
      <c r="Q136" s="7">
        <f ca="1">SUM(OFFSET($A$127,9,1,1,12))</f>
        <v>0</v>
      </c>
    </row>
    <row r="137" spans="1:17" x14ac:dyDescent="0.2">
      <c r="A137" s="7">
        <v>9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f ca="1">SUM(OFFSET($A$127,10,1,1,14))</f>
        <v>0</v>
      </c>
      <c r="Q137" s="7">
        <f ca="1">SUM(OFFSET($A$127,10,1,1,12))</f>
        <v>0</v>
      </c>
    </row>
    <row r="138" spans="1:17" x14ac:dyDescent="0.2">
      <c r="A138" s="7">
        <v>10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f ca="1">SUM(OFFSET($A$127,11,1,1,14))</f>
        <v>0</v>
      </c>
      <c r="Q138" s="7">
        <f ca="1">SUM(OFFSET($A$127,11,1,1,12))</f>
        <v>0</v>
      </c>
    </row>
    <row r="139" spans="1:17" x14ac:dyDescent="0.2">
      <c r="A139" s="7">
        <v>11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f ca="1">SUM(OFFSET($A$127,12,1,1,14))</f>
        <v>0</v>
      </c>
      <c r="Q139" s="7">
        <f ca="1">SUM(OFFSET($A$127,12,1,1,12))</f>
        <v>0</v>
      </c>
    </row>
    <row r="140" spans="1:17" x14ac:dyDescent="0.2">
      <c r="A140" s="7">
        <v>12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f ca="1">SUM(OFFSET($A$127,13,1,1,14))</f>
        <v>0</v>
      </c>
      <c r="Q140" s="7">
        <f ca="1">SUM(OFFSET($A$127,13,1,1,12))</f>
        <v>0</v>
      </c>
    </row>
    <row r="141" spans="1:17" x14ac:dyDescent="0.2">
      <c r="A141" s="7">
        <v>13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f ca="1">SUM(OFFSET($A$127,14,1,1,14))</f>
        <v>0</v>
      </c>
      <c r="Q141" s="7">
        <f ca="1">SUM(OFFSET($A$127,14,1,1,12))</f>
        <v>0</v>
      </c>
    </row>
    <row r="142" spans="1:17" x14ac:dyDescent="0.2">
      <c r="A142" s="7">
        <v>14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f ca="1">SUM(OFFSET($A$127,15,1,1,14))</f>
        <v>0</v>
      </c>
      <c r="Q142" s="7">
        <f ca="1">SUM(OFFSET($A$127,15,1,1,12))</f>
        <v>0</v>
      </c>
    </row>
    <row r="143" spans="1:17" x14ac:dyDescent="0.2">
      <c r="A143" s="7" t="s">
        <v>43</v>
      </c>
      <c r="B143" s="7">
        <f ca="1">SUM(OFFSET($A$127,2,1,14,1))</f>
        <v>0</v>
      </c>
      <c r="C143" s="7">
        <f ca="1">SUM(OFFSET($A$127,2,2,14,1))</f>
        <v>0</v>
      </c>
      <c r="D143" s="7">
        <f ca="1">SUM(OFFSET($A$127,2,3,14,1))</f>
        <v>0</v>
      </c>
      <c r="E143" s="7">
        <f ca="1">SUM(OFFSET($A$127,2,4,14,1))</f>
        <v>0</v>
      </c>
      <c r="F143" s="7">
        <f ca="1">SUM(OFFSET($A$127,2,5,14,1))</f>
        <v>0</v>
      </c>
      <c r="G143" s="7">
        <f ca="1">SUM(OFFSET($A$127,2,6,14,1))</f>
        <v>0</v>
      </c>
      <c r="H143" s="7">
        <f ca="1">SUM(OFFSET($A$127,2,7,14,1))</f>
        <v>0</v>
      </c>
      <c r="I143" s="7">
        <f ca="1">SUM(OFFSET($A$127,2,8,14,1))</f>
        <v>0</v>
      </c>
      <c r="J143" s="7">
        <f ca="1">SUM(OFFSET($A$127,2,9,14,1))</f>
        <v>0</v>
      </c>
      <c r="K143" s="7">
        <f ca="1">SUM(OFFSET($A$127,2,10,14,1))</f>
        <v>0</v>
      </c>
      <c r="L143" s="7">
        <f ca="1">SUM(OFFSET($A$127,2,11,14,1))</f>
        <v>0</v>
      </c>
      <c r="M143" s="7">
        <f ca="1">SUM(OFFSET($A$127,2,12,14,1))</f>
        <v>0</v>
      </c>
      <c r="N143" s="7">
        <f ca="1">SUM(OFFSET($A$127,2,13,14,1))</f>
        <v>0</v>
      </c>
      <c r="O143" s="7">
        <f ca="1">SUM(OFFSET($A$127,2,14,14,1))</f>
        <v>0</v>
      </c>
      <c r="P143" s="7">
        <f ca="1">SUM(OFFSET($A$127,16,1,1,14))</f>
        <v>0</v>
      </c>
      <c r="Q143" s="7">
        <f ca="1">SUM(OFFSET($A$127,16,1,1,12))</f>
        <v>0</v>
      </c>
    </row>
    <row r="144" spans="1:17" x14ac:dyDescent="0.2">
      <c r="O144" s="12" t="s">
        <v>59</v>
      </c>
      <c r="P144" s="7">
        <f ca="1">SUM(OFFSET($B$129,0,0,12,12))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Miscel tables</vt:lpstr>
      <vt:lpstr>Summary</vt:lpstr>
      <vt:lpstr>AllPurposes</vt:lpstr>
      <vt:lpstr>HBWork</vt:lpstr>
      <vt:lpstr>HBSchool</vt:lpstr>
      <vt:lpstr>HBUniv</vt:lpstr>
      <vt:lpstr>HBEscort</vt:lpstr>
      <vt:lpstr>HBShop</vt:lpstr>
      <vt:lpstr>HBSocial</vt:lpstr>
      <vt:lpstr>HBPersBusiness</vt:lpstr>
      <vt:lpstr>NHBWork</vt:lpstr>
      <vt:lpstr>NHBOther</vt:lpstr>
      <vt:lpstr>Calibri</vt:lpstr>
      <vt:lpstr>ListWs</vt:lpstr>
      <vt:lpstr>posValue1</vt:lpstr>
      <vt:lpstr>Summary!Print_Area</vt:lpstr>
      <vt:lpstr>Summary!Print_Titles</vt:lpstr>
      <vt:lpstr>select_iter</vt:lpstr>
    </vt:vector>
  </TitlesOfParts>
  <Company>CMBC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So</dc:creator>
  <cp:lastModifiedBy>So, Ryan</cp:lastModifiedBy>
  <cp:lastPrinted>2015-01-12T21:14:36Z</cp:lastPrinted>
  <dcterms:created xsi:type="dcterms:W3CDTF">2013-04-30T18:36:09Z</dcterms:created>
  <dcterms:modified xsi:type="dcterms:W3CDTF">2015-03-19T15:55:58Z</dcterms:modified>
</cp:coreProperties>
</file>